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eefb294d3f372/Desktop/"/>
    </mc:Choice>
  </mc:AlternateContent>
  <xr:revisionPtr revIDLastSave="65" documentId="8_{3B5B416D-AF72-4AF6-8FA4-43681ADB595D}" xr6:coauthVersionLast="47" xr6:coauthVersionMax="47" xr10:uidLastSave="{2C6C490F-843A-44D1-B403-54275B39DAA3}"/>
  <bookViews>
    <workbookView xWindow="-108" yWindow="-108" windowWidth="23256" windowHeight="12456" firstSheet="1" activeTab="5" xr2:uid="{B34B41FA-4420-4C64-8B80-B52ADDD2AE8B}"/>
  </bookViews>
  <sheets>
    <sheet name="Transaction" sheetId="1" r:id="rId1"/>
    <sheet name="Journal" sheetId="2" r:id="rId2"/>
    <sheet name="Ledger" sheetId="3" r:id="rId3"/>
    <sheet name="Trial Balance" sheetId="4" r:id="rId4"/>
    <sheet name="Income and expenditure" sheetId="5" r:id="rId5"/>
    <sheet name="Balance she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D7" i="6"/>
  <c r="D11" i="5"/>
  <c r="B11" i="5"/>
  <c r="D14" i="4"/>
  <c r="C14" i="4"/>
  <c r="D84" i="3"/>
  <c r="D76" i="3"/>
  <c r="D68" i="3"/>
  <c r="D60" i="3"/>
  <c r="D52" i="3"/>
  <c r="H19" i="3"/>
  <c r="H90" i="3"/>
  <c r="D90" i="3"/>
  <c r="H84" i="3"/>
  <c r="H76" i="3"/>
  <c r="H68" i="3"/>
  <c r="H60" i="3"/>
  <c r="H52" i="3"/>
  <c r="H44" i="3"/>
  <c r="D44" i="3"/>
  <c r="H38" i="3"/>
  <c r="D38" i="3"/>
  <c r="H32" i="3"/>
  <c r="D32" i="3"/>
  <c r="D19" i="3"/>
  <c r="F5" i="2"/>
</calcChain>
</file>

<file path=xl/sharedStrings.xml><?xml version="1.0" encoding="utf-8"?>
<sst xmlns="http://schemas.openxmlformats.org/spreadsheetml/2006/main" count="321" uniqueCount="103">
  <si>
    <t xml:space="preserve">Followings Transaction of Mr.Rolin </t>
  </si>
  <si>
    <t>Week - 1</t>
  </si>
  <si>
    <t xml:space="preserve">Opening cash balance </t>
  </si>
  <si>
    <t xml:space="preserve">Opening bank balance </t>
  </si>
  <si>
    <t>Received salary by bank</t>
  </si>
  <si>
    <t>Purchased perishable goods for cash</t>
  </si>
  <si>
    <t xml:space="preserve">Purchased groceries by bank </t>
  </si>
  <si>
    <t>Paid travelling expenses by bank</t>
  </si>
  <si>
    <t>Paid petrol expenses by cash</t>
  </si>
  <si>
    <t>purchased snacks by cash</t>
  </si>
  <si>
    <t>Week - 2</t>
  </si>
  <si>
    <t>Purchased stationery for cash</t>
  </si>
  <si>
    <t>Week - 3</t>
  </si>
  <si>
    <t>Week - 4</t>
  </si>
  <si>
    <t>In the book of Mr. Rolin  Journal Entries</t>
  </si>
  <si>
    <t>Date</t>
  </si>
  <si>
    <t>Paticulars</t>
  </si>
  <si>
    <t>L.F</t>
  </si>
  <si>
    <t>Debit₹</t>
  </si>
  <si>
    <t>Credit₹</t>
  </si>
  <si>
    <t>Cash a/c</t>
  </si>
  <si>
    <t>Dr</t>
  </si>
  <si>
    <t>Bank a/c</t>
  </si>
  <si>
    <t>To capital a/c</t>
  </si>
  <si>
    <t>(Being opening cash and bank balance recorded)</t>
  </si>
  <si>
    <t>To salary a/c</t>
  </si>
  <si>
    <t>(Being salary received by bank)</t>
  </si>
  <si>
    <t>Perishable goods a/c</t>
  </si>
  <si>
    <t>To cash a/c</t>
  </si>
  <si>
    <t>(Being perishable goods purchased for cash)</t>
  </si>
  <si>
    <t>Purchase a/c</t>
  </si>
  <si>
    <t>To Bank a/c</t>
  </si>
  <si>
    <t>(Being groceries purchased by bank)</t>
  </si>
  <si>
    <t>Travelling Expenses a/c</t>
  </si>
  <si>
    <t>(Being travelling expenses by bank)</t>
  </si>
  <si>
    <t>Petrol expenses a/c</t>
  </si>
  <si>
    <t>(Being petrol expenses paid by cash)</t>
  </si>
  <si>
    <t>Snacks expenses a/c</t>
  </si>
  <si>
    <t>To Cash a/c</t>
  </si>
  <si>
    <t>(Being snacks purchased by bank)</t>
  </si>
  <si>
    <t>Stationery a/c</t>
  </si>
  <si>
    <t>(Being stationery purchased for cash )</t>
  </si>
  <si>
    <t>In the books of Mr. Rolin Ledger account</t>
  </si>
  <si>
    <t>Cash Account</t>
  </si>
  <si>
    <t>Particulars</t>
  </si>
  <si>
    <t>J.F</t>
  </si>
  <si>
    <t>Amount₹</t>
  </si>
  <si>
    <t>To Capital A/c</t>
  </si>
  <si>
    <t>By Perishable Goods A/c</t>
  </si>
  <si>
    <t>By Petrol Expenses A/c</t>
  </si>
  <si>
    <t>By Snacks Expenses A/c</t>
  </si>
  <si>
    <t>By Stationery A/c</t>
  </si>
  <si>
    <t>By Balance c/d</t>
  </si>
  <si>
    <t>Bank Account</t>
  </si>
  <si>
    <t>By Purchase A/c</t>
  </si>
  <si>
    <t>To Salary A/c</t>
  </si>
  <si>
    <t>By Travelling Expenses A/c</t>
  </si>
  <si>
    <t>Total</t>
  </si>
  <si>
    <t>Capital Account</t>
  </si>
  <si>
    <t>By Cash A/c</t>
  </si>
  <si>
    <t>By Bank A/c</t>
  </si>
  <si>
    <t>Salary Account</t>
  </si>
  <si>
    <t>To Balance c/d</t>
  </si>
  <si>
    <t>Perishable goods account</t>
  </si>
  <si>
    <t>To Cash A/c</t>
  </si>
  <si>
    <t>Purchase account</t>
  </si>
  <si>
    <t>To Bank A/c</t>
  </si>
  <si>
    <t>Travelling Expenses</t>
  </si>
  <si>
    <t>Petrol expenses account</t>
  </si>
  <si>
    <t>Snack Expenses Account</t>
  </si>
  <si>
    <t>Stationery  Account</t>
  </si>
  <si>
    <t>S. No.</t>
  </si>
  <si>
    <t>Cash A/c</t>
  </si>
  <si>
    <t>Bank A/c</t>
  </si>
  <si>
    <t>Capital A/c</t>
  </si>
  <si>
    <t>Salary A/c</t>
  </si>
  <si>
    <t>Perishable Goods A/c</t>
  </si>
  <si>
    <t>Purchase A/c</t>
  </si>
  <si>
    <t>Travelling Expenses A/c</t>
  </si>
  <si>
    <t>Petrol Expenses A/c</t>
  </si>
  <si>
    <t>Snacks Expenses A/c</t>
  </si>
  <si>
    <t>Stationery A/c</t>
  </si>
  <si>
    <t>Debit ₹</t>
  </si>
  <si>
    <t>Credit ₹</t>
  </si>
  <si>
    <t>Trial balance on 31 august 2026</t>
  </si>
  <si>
    <t>Expenditure</t>
  </si>
  <si>
    <t>Amount (₹)</t>
  </si>
  <si>
    <t>Income</t>
  </si>
  <si>
    <t>To Perishable Goods</t>
  </si>
  <si>
    <t>By Salary Received</t>
  </si>
  <si>
    <t>To Purchases (Groceries)</t>
  </si>
  <si>
    <t>To Travelling Expenses</t>
  </si>
  <si>
    <t>To Petrol Expenses</t>
  </si>
  <si>
    <t>To Snacks Expenses</t>
  </si>
  <si>
    <t>To Stationery</t>
  </si>
  <si>
    <t>To Surplus</t>
  </si>
  <si>
    <t>Income and Expenditure on 31 august 2026</t>
  </si>
  <si>
    <t>Liabilities</t>
  </si>
  <si>
    <t>Assets</t>
  </si>
  <si>
    <t>Cash in Hand</t>
  </si>
  <si>
    <t>Add: Surplus</t>
  </si>
  <si>
    <t>Bank Balance</t>
  </si>
  <si>
    <t>Balance Sheet on 31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</si>
</sst>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16" fontId="0" fillId="0" borderId="5" xfId="0" applyNumberFormat="1" applyBorder="1"/>
    <xf numFmtId="164" fontId="0" fillId="0" borderId="7" xfId="1" applyNumberFormat="1" applyFont="1" applyBorder="1"/>
    <xf numFmtId="16" fontId="0" fillId="0" borderId="8" xfId="0" applyNumberFormat="1" applyBorder="1"/>
    <xf numFmtId="164" fontId="0" fillId="0" borderId="12" xfId="1" applyNumberFormat="1" applyFont="1" applyBorder="1"/>
    <xf numFmtId="16" fontId="0" fillId="0" borderId="13" xfId="0" applyNumberFormat="1" applyBorder="1"/>
    <xf numFmtId="16" fontId="0" fillId="0" borderId="15" xfId="0" applyNumberFormat="1" applyBorder="1"/>
    <xf numFmtId="164" fontId="0" fillId="0" borderId="17" xfId="1" applyNumberFormat="1" applyFont="1" applyBorder="1"/>
    <xf numFmtId="164" fontId="0" fillId="0" borderId="0" xfId="1" applyNumberFormat="1" applyFont="1"/>
    <xf numFmtId="0" fontId="2" fillId="0" borderId="14" xfId="0" applyFont="1" applyBorder="1"/>
    <xf numFmtId="164" fontId="2" fillId="0" borderId="14" xfId="1" applyNumberFormat="1" applyFont="1" applyBorder="1"/>
    <xf numFmtId="16" fontId="0" fillId="0" borderId="14" xfId="0" applyNumberFormat="1" applyBorder="1"/>
    <xf numFmtId="0" fontId="0" fillId="0" borderId="14" xfId="0" applyBorder="1"/>
    <xf numFmtId="164" fontId="0" fillId="0" borderId="14" xfId="1" applyNumberFormat="1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3" fontId="0" fillId="0" borderId="0" xfId="0" applyNumberFormat="1"/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vertical="center" wrapText="1"/>
    </xf>
    <xf numFmtId="164" fontId="2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164" fontId="2" fillId="0" borderId="0" xfId="1" applyNumberFormat="1" applyFont="1" applyAlignment="1">
      <alignment vertical="center" wrapText="1"/>
    </xf>
    <xf numFmtId="164" fontId="2" fillId="0" borderId="0" xfId="1" applyNumberFormat="1" applyFont="1"/>
    <xf numFmtId="3" fontId="2" fillId="0" borderId="0" xfId="0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FF411-1A6C-45F0-9B15-649CABDE4F67}">
  <dimension ref="A1:F32"/>
  <sheetViews>
    <sheetView topLeftCell="A9" workbookViewId="0">
      <selection activeCell="F32" sqref="F32"/>
    </sheetView>
  </sheetViews>
  <sheetFormatPr defaultRowHeight="14.4" x14ac:dyDescent="0.3"/>
  <sheetData>
    <row r="1" spans="1:6" ht="15" thickBot="1" x14ac:dyDescent="0.35">
      <c r="A1" s="33" t="s">
        <v>0</v>
      </c>
      <c r="B1" s="33"/>
      <c r="C1" s="33"/>
      <c r="D1" s="33"/>
      <c r="E1" s="33"/>
      <c r="F1" s="33"/>
    </row>
    <row r="2" spans="1:6" ht="15" thickBot="1" x14ac:dyDescent="0.35">
      <c r="A2" s="27" t="s">
        <v>1</v>
      </c>
      <c r="B2" s="28"/>
      <c r="C2" s="28"/>
      <c r="D2" s="28"/>
      <c r="E2" s="28"/>
      <c r="F2" s="29"/>
    </row>
    <row r="3" spans="1:6" x14ac:dyDescent="0.3">
      <c r="A3" s="1">
        <v>46235</v>
      </c>
      <c r="B3" s="34" t="s">
        <v>2</v>
      </c>
      <c r="C3" s="34"/>
      <c r="D3" s="34"/>
      <c r="E3" s="34"/>
      <c r="F3" s="2">
        <v>98150</v>
      </c>
    </row>
    <row r="4" spans="1:6" x14ac:dyDescent="0.3">
      <c r="A4" s="3">
        <v>46235</v>
      </c>
      <c r="B4" s="30" t="s">
        <v>3</v>
      </c>
      <c r="C4" s="31"/>
      <c r="D4" s="31"/>
      <c r="E4" s="32"/>
      <c r="F4" s="4">
        <v>93368</v>
      </c>
    </row>
    <row r="5" spans="1:6" x14ac:dyDescent="0.3">
      <c r="A5" s="5">
        <v>46236</v>
      </c>
      <c r="B5" s="25" t="s">
        <v>4</v>
      </c>
      <c r="C5" s="25"/>
      <c r="D5" s="25"/>
      <c r="E5" s="25"/>
      <c r="F5" s="4">
        <v>100000</v>
      </c>
    </row>
    <row r="6" spans="1:6" x14ac:dyDescent="0.3">
      <c r="A6" s="5">
        <v>46237</v>
      </c>
      <c r="B6" s="25" t="s">
        <v>5</v>
      </c>
      <c r="C6" s="25"/>
      <c r="D6" s="25"/>
      <c r="E6" s="25"/>
      <c r="F6" s="4">
        <v>220</v>
      </c>
    </row>
    <row r="7" spans="1:6" x14ac:dyDescent="0.3">
      <c r="A7" s="5">
        <v>46238</v>
      </c>
      <c r="B7" s="25" t="s">
        <v>6</v>
      </c>
      <c r="C7" s="25"/>
      <c r="D7" s="25"/>
      <c r="E7" s="25"/>
      <c r="F7" s="4">
        <v>5240</v>
      </c>
    </row>
    <row r="8" spans="1:6" x14ac:dyDescent="0.3">
      <c r="A8" s="5">
        <v>46239</v>
      </c>
      <c r="B8" s="30" t="s">
        <v>7</v>
      </c>
      <c r="C8" s="31"/>
      <c r="D8" s="31"/>
      <c r="E8" s="32"/>
      <c r="F8" s="4">
        <v>400</v>
      </c>
    </row>
    <row r="9" spans="1:6" x14ac:dyDescent="0.3">
      <c r="A9" s="5">
        <v>46240</v>
      </c>
      <c r="B9" s="25" t="s">
        <v>8</v>
      </c>
      <c r="C9" s="25"/>
      <c r="D9" s="25"/>
      <c r="E9" s="25"/>
      <c r="F9" s="4">
        <v>300</v>
      </c>
    </row>
    <row r="10" spans="1:6" ht="15" thickBot="1" x14ac:dyDescent="0.35">
      <c r="A10" s="6">
        <v>46241</v>
      </c>
      <c r="B10" s="26" t="s">
        <v>9</v>
      </c>
      <c r="C10" s="26"/>
      <c r="D10" s="26"/>
      <c r="E10" s="26"/>
      <c r="F10" s="7">
        <v>100</v>
      </c>
    </row>
    <row r="11" spans="1:6" ht="15" thickBot="1" x14ac:dyDescent="0.35">
      <c r="F11" s="8"/>
    </row>
    <row r="12" spans="1:6" ht="15" thickBot="1" x14ac:dyDescent="0.35">
      <c r="A12" s="27" t="s">
        <v>10</v>
      </c>
      <c r="B12" s="28"/>
      <c r="C12" s="28"/>
      <c r="D12" s="28"/>
      <c r="E12" s="28"/>
      <c r="F12" s="29"/>
    </row>
    <row r="13" spans="1:6" x14ac:dyDescent="0.3">
      <c r="A13" s="3">
        <v>46242</v>
      </c>
      <c r="B13" s="24" t="s">
        <v>9</v>
      </c>
      <c r="C13" s="24"/>
      <c r="D13" s="24"/>
      <c r="E13" s="24"/>
      <c r="F13" s="2">
        <v>200</v>
      </c>
    </row>
    <row r="14" spans="1:6" x14ac:dyDescent="0.3">
      <c r="A14" s="5">
        <v>46243</v>
      </c>
      <c r="B14" s="25" t="s">
        <v>5</v>
      </c>
      <c r="C14" s="25"/>
      <c r="D14" s="25"/>
      <c r="E14" s="25"/>
      <c r="F14" s="4">
        <v>190</v>
      </c>
    </row>
    <row r="15" spans="1:6" x14ac:dyDescent="0.3">
      <c r="A15" s="5">
        <v>46244</v>
      </c>
      <c r="B15" s="25" t="s">
        <v>11</v>
      </c>
      <c r="C15" s="25"/>
      <c r="D15" s="25"/>
      <c r="E15" s="25"/>
      <c r="F15" s="4">
        <v>130</v>
      </c>
    </row>
    <row r="16" spans="1:6" x14ac:dyDescent="0.3">
      <c r="A16" s="5">
        <v>46245</v>
      </c>
      <c r="B16" s="25" t="s">
        <v>6</v>
      </c>
      <c r="C16" s="25"/>
      <c r="D16" s="25"/>
      <c r="E16" s="25"/>
      <c r="F16" s="4">
        <v>1420</v>
      </c>
    </row>
    <row r="17" spans="1:6" x14ac:dyDescent="0.3">
      <c r="A17" s="5">
        <v>46246</v>
      </c>
      <c r="B17" s="25" t="s">
        <v>8</v>
      </c>
      <c r="C17" s="25"/>
      <c r="D17" s="25"/>
      <c r="E17" s="25"/>
      <c r="F17" s="4">
        <v>200</v>
      </c>
    </row>
    <row r="18" spans="1:6" ht="15" thickBot="1" x14ac:dyDescent="0.35">
      <c r="A18" s="6">
        <v>46247</v>
      </c>
      <c r="B18" s="26" t="s">
        <v>7</v>
      </c>
      <c r="C18" s="26"/>
      <c r="D18" s="26"/>
      <c r="E18" s="26"/>
      <c r="F18" s="7">
        <v>500</v>
      </c>
    </row>
    <row r="19" spans="1:6" ht="15" thickBot="1" x14ac:dyDescent="0.35"/>
    <row r="20" spans="1:6" ht="15" thickBot="1" x14ac:dyDescent="0.35">
      <c r="A20" s="27" t="s">
        <v>12</v>
      </c>
      <c r="B20" s="28"/>
      <c r="C20" s="28"/>
      <c r="D20" s="28"/>
      <c r="E20" s="28"/>
      <c r="F20" s="29"/>
    </row>
    <row r="21" spans="1:6" x14ac:dyDescent="0.3">
      <c r="A21" s="3">
        <v>46249</v>
      </c>
      <c r="B21" s="24" t="s">
        <v>9</v>
      </c>
      <c r="C21" s="24"/>
      <c r="D21" s="24"/>
      <c r="E21" s="24"/>
      <c r="F21" s="2">
        <v>100</v>
      </c>
    </row>
    <row r="22" spans="1:6" x14ac:dyDescent="0.3">
      <c r="A22" s="5">
        <v>46250</v>
      </c>
      <c r="B22" s="25" t="s">
        <v>5</v>
      </c>
      <c r="C22" s="25"/>
      <c r="D22" s="25"/>
      <c r="E22" s="25"/>
      <c r="F22" s="4">
        <v>200</v>
      </c>
    </row>
    <row r="23" spans="1:6" x14ac:dyDescent="0.3">
      <c r="A23" s="5">
        <v>46252</v>
      </c>
      <c r="B23" s="25" t="s">
        <v>6</v>
      </c>
      <c r="C23" s="25"/>
      <c r="D23" s="25"/>
      <c r="E23" s="25"/>
      <c r="F23" s="4">
        <v>1800</v>
      </c>
    </row>
    <row r="24" spans="1:6" x14ac:dyDescent="0.3">
      <c r="A24" s="5">
        <v>46253</v>
      </c>
      <c r="B24" s="25" t="s">
        <v>8</v>
      </c>
      <c r="C24" s="25"/>
      <c r="D24" s="25"/>
      <c r="E24" s="25"/>
      <c r="F24" s="4">
        <v>200</v>
      </c>
    </row>
    <row r="25" spans="1:6" ht="15" thickBot="1" x14ac:dyDescent="0.35">
      <c r="A25" s="6">
        <v>46255</v>
      </c>
      <c r="B25" s="26" t="s">
        <v>7</v>
      </c>
      <c r="C25" s="26"/>
      <c r="D25" s="26"/>
      <c r="E25" s="26"/>
      <c r="F25" s="7">
        <v>500</v>
      </c>
    </row>
    <row r="26" spans="1:6" ht="15" thickBot="1" x14ac:dyDescent="0.35"/>
    <row r="27" spans="1:6" ht="15" thickBot="1" x14ac:dyDescent="0.35">
      <c r="A27" s="27" t="s">
        <v>13</v>
      </c>
      <c r="B27" s="28"/>
      <c r="C27" s="28"/>
      <c r="D27" s="28"/>
      <c r="E27" s="28"/>
      <c r="F27" s="29"/>
    </row>
    <row r="28" spans="1:6" x14ac:dyDescent="0.3">
      <c r="A28" s="3">
        <v>46256</v>
      </c>
      <c r="B28" s="24" t="s">
        <v>9</v>
      </c>
      <c r="C28" s="24"/>
      <c r="D28" s="24"/>
      <c r="E28" s="24"/>
      <c r="F28" s="2">
        <v>300</v>
      </c>
    </row>
    <row r="29" spans="1:6" x14ac:dyDescent="0.3">
      <c r="A29" s="5">
        <v>46257</v>
      </c>
      <c r="B29" s="25" t="s">
        <v>5</v>
      </c>
      <c r="C29" s="25"/>
      <c r="D29" s="25"/>
      <c r="E29" s="25"/>
      <c r="F29" s="4">
        <v>180</v>
      </c>
    </row>
    <row r="30" spans="1:6" x14ac:dyDescent="0.3">
      <c r="A30" s="5">
        <v>46258</v>
      </c>
      <c r="B30" s="25" t="s">
        <v>6</v>
      </c>
      <c r="C30" s="25"/>
      <c r="D30" s="25"/>
      <c r="E30" s="25"/>
      <c r="F30" s="4">
        <v>2450</v>
      </c>
    </row>
    <row r="31" spans="1:6" x14ac:dyDescent="0.3">
      <c r="A31" s="5">
        <v>46259</v>
      </c>
      <c r="B31" s="25" t="s">
        <v>8</v>
      </c>
      <c r="C31" s="25"/>
      <c r="D31" s="25"/>
      <c r="E31" s="25"/>
      <c r="F31" s="4">
        <v>100</v>
      </c>
    </row>
    <row r="32" spans="1:6" ht="15" thickBot="1" x14ac:dyDescent="0.35">
      <c r="A32" s="6">
        <v>46260</v>
      </c>
      <c r="B32" s="26" t="s">
        <v>7</v>
      </c>
      <c r="C32" s="26"/>
      <c r="D32" s="26"/>
      <c r="E32" s="26"/>
      <c r="F32" s="7">
        <v>500</v>
      </c>
    </row>
  </sheetData>
  <mergeCells count="29">
    <mergeCell ref="B13:E13"/>
    <mergeCell ref="A1:F1"/>
    <mergeCell ref="A2:F2"/>
    <mergeCell ref="B3:E3"/>
    <mergeCell ref="B4:E4"/>
    <mergeCell ref="B5:E5"/>
    <mergeCell ref="B6:E6"/>
    <mergeCell ref="B7:E7"/>
    <mergeCell ref="B8:E8"/>
    <mergeCell ref="B9:E9"/>
    <mergeCell ref="B10:E10"/>
    <mergeCell ref="A12:F12"/>
    <mergeCell ref="A27:F27"/>
    <mergeCell ref="B14:E14"/>
    <mergeCell ref="B15:E15"/>
    <mergeCell ref="B16:E16"/>
    <mergeCell ref="B17:E17"/>
    <mergeCell ref="B18:E18"/>
    <mergeCell ref="A20:F20"/>
    <mergeCell ref="B21:E21"/>
    <mergeCell ref="B22:E22"/>
    <mergeCell ref="B23:E23"/>
    <mergeCell ref="B24:E24"/>
    <mergeCell ref="B25:E25"/>
    <mergeCell ref="B28:E28"/>
    <mergeCell ref="B29:E29"/>
    <mergeCell ref="B30:E30"/>
    <mergeCell ref="B31:E31"/>
    <mergeCell ref="B32:E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F0CF-0FAA-40AB-8B58-3C56595828BD}">
  <dimension ref="A1:F72"/>
  <sheetViews>
    <sheetView topLeftCell="A43" workbookViewId="0">
      <selection activeCell="K58" sqref="K58"/>
    </sheetView>
  </sheetViews>
  <sheetFormatPr defaultRowHeight="14.4" x14ac:dyDescent="0.3"/>
  <cols>
    <col min="2" max="2" width="40.21875" bestFit="1" customWidth="1"/>
    <col min="3" max="3" width="2.88671875" bestFit="1" customWidth="1"/>
    <col min="4" max="4" width="3.44140625" bestFit="1" customWidth="1"/>
  </cols>
  <sheetData>
    <row r="1" spans="1:6" x14ac:dyDescent="0.3">
      <c r="A1" s="35" t="s">
        <v>14</v>
      </c>
      <c r="B1" s="35"/>
      <c r="C1" s="35"/>
      <c r="D1" s="35"/>
      <c r="E1" s="35"/>
      <c r="F1" s="35"/>
    </row>
    <row r="2" spans="1:6" x14ac:dyDescent="0.3">
      <c r="A2" s="9" t="s">
        <v>15</v>
      </c>
      <c r="B2" s="9" t="s">
        <v>16</v>
      </c>
      <c r="C2" s="9"/>
      <c r="D2" s="9" t="s">
        <v>17</v>
      </c>
      <c r="E2" s="10" t="s">
        <v>18</v>
      </c>
      <c r="F2" s="10" t="s">
        <v>19</v>
      </c>
    </row>
    <row r="3" spans="1:6" x14ac:dyDescent="0.3">
      <c r="A3" s="11">
        <v>46235</v>
      </c>
      <c r="B3" s="12" t="s">
        <v>20</v>
      </c>
      <c r="C3" s="12" t="s">
        <v>21</v>
      </c>
      <c r="D3" s="12"/>
      <c r="E3" s="13">
        <v>98150</v>
      </c>
      <c r="F3" s="13"/>
    </row>
    <row r="4" spans="1:6" x14ac:dyDescent="0.3">
      <c r="A4" s="11"/>
      <c r="B4" s="12" t="s">
        <v>22</v>
      </c>
      <c r="C4" s="12"/>
      <c r="D4" s="12"/>
      <c r="E4" s="13">
        <v>93368</v>
      </c>
      <c r="F4" s="13"/>
    </row>
    <row r="5" spans="1:6" x14ac:dyDescent="0.3">
      <c r="A5" s="12"/>
      <c r="B5" s="12" t="s">
        <v>23</v>
      </c>
      <c r="C5" s="12"/>
      <c r="D5" s="12"/>
      <c r="E5" s="13"/>
      <c r="F5" s="13">
        <f>SUM(E3:E4)</f>
        <v>191518</v>
      </c>
    </row>
    <row r="6" spans="1:6" x14ac:dyDescent="0.3">
      <c r="A6" s="12"/>
      <c r="B6" s="12" t="s">
        <v>24</v>
      </c>
      <c r="C6" s="12"/>
      <c r="D6" s="12"/>
      <c r="E6" s="13"/>
      <c r="F6" s="13"/>
    </row>
    <row r="7" spans="1:6" x14ac:dyDescent="0.3">
      <c r="A7" s="11">
        <v>46236</v>
      </c>
      <c r="B7" s="12" t="s">
        <v>22</v>
      </c>
      <c r="C7" s="12" t="s">
        <v>21</v>
      </c>
      <c r="D7" s="12"/>
      <c r="E7" s="13">
        <v>100000</v>
      </c>
      <c r="F7" s="13"/>
    </row>
    <row r="8" spans="1:6" x14ac:dyDescent="0.3">
      <c r="A8" s="12"/>
      <c r="B8" s="12" t="s">
        <v>25</v>
      </c>
      <c r="C8" s="12"/>
      <c r="D8" s="12"/>
      <c r="E8" s="13"/>
      <c r="F8" s="13">
        <v>100000</v>
      </c>
    </row>
    <row r="9" spans="1:6" x14ac:dyDescent="0.3">
      <c r="A9" s="12"/>
      <c r="B9" s="12" t="s">
        <v>26</v>
      </c>
      <c r="C9" s="12"/>
      <c r="D9" s="12"/>
      <c r="E9" s="13"/>
      <c r="F9" s="13"/>
    </row>
    <row r="10" spans="1:6" x14ac:dyDescent="0.3">
      <c r="A10" s="11">
        <v>46237</v>
      </c>
      <c r="B10" s="12" t="s">
        <v>27</v>
      </c>
      <c r="C10" s="12" t="s">
        <v>21</v>
      </c>
      <c r="D10" s="12"/>
      <c r="E10" s="13">
        <v>220</v>
      </c>
      <c r="F10" s="13"/>
    </row>
    <row r="11" spans="1:6" x14ac:dyDescent="0.3">
      <c r="A11" s="12"/>
      <c r="B11" s="12" t="s">
        <v>28</v>
      </c>
      <c r="C11" s="12"/>
      <c r="D11" s="12"/>
      <c r="E11" s="13"/>
      <c r="F11" s="13">
        <v>220</v>
      </c>
    </row>
    <row r="12" spans="1:6" x14ac:dyDescent="0.3">
      <c r="A12" s="12"/>
      <c r="B12" s="12" t="s">
        <v>29</v>
      </c>
      <c r="C12" s="12"/>
      <c r="D12" s="12"/>
      <c r="E12" s="13"/>
      <c r="F12" s="13"/>
    </row>
    <row r="13" spans="1:6" x14ac:dyDescent="0.3">
      <c r="A13" s="11">
        <v>46238</v>
      </c>
      <c r="B13" s="12" t="s">
        <v>30</v>
      </c>
      <c r="C13" s="12" t="s">
        <v>21</v>
      </c>
      <c r="D13" s="12"/>
      <c r="E13" s="13">
        <v>5240</v>
      </c>
      <c r="F13" s="13"/>
    </row>
    <row r="14" spans="1:6" x14ac:dyDescent="0.3">
      <c r="A14" s="12"/>
      <c r="B14" s="12" t="s">
        <v>31</v>
      </c>
      <c r="C14" s="12"/>
      <c r="D14" s="12"/>
      <c r="E14" s="13"/>
      <c r="F14" s="13">
        <v>5240</v>
      </c>
    </row>
    <row r="15" spans="1:6" x14ac:dyDescent="0.3">
      <c r="A15" s="12"/>
      <c r="B15" s="12" t="s">
        <v>32</v>
      </c>
      <c r="C15" s="12"/>
      <c r="D15" s="12"/>
      <c r="E15" s="13"/>
      <c r="F15" s="13"/>
    </row>
    <row r="16" spans="1:6" x14ac:dyDescent="0.3">
      <c r="A16" s="11">
        <v>46239</v>
      </c>
      <c r="B16" s="12" t="s">
        <v>33</v>
      </c>
      <c r="C16" s="12" t="s">
        <v>21</v>
      </c>
      <c r="D16" s="12"/>
      <c r="E16" s="13">
        <v>400</v>
      </c>
      <c r="F16" s="13"/>
    </row>
    <row r="17" spans="1:6" x14ac:dyDescent="0.3">
      <c r="A17" s="12"/>
      <c r="B17" s="12" t="s">
        <v>31</v>
      </c>
      <c r="C17" s="12"/>
      <c r="D17" s="12"/>
      <c r="E17" s="13"/>
      <c r="F17" s="13">
        <v>400</v>
      </c>
    </row>
    <row r="18" spans="1:6" x14ac:dyDescent="0.3">
      <c r="A18" s="12"/>
      <c r="B18" s="12" t="s">
        <v>34</v>
      </c>
      <c r="C18" s="12"/>
      <c r="D18" s="12"/>
      <c r="E18" s="13"/>
      <c r="F18" s="13"/>
    </row>
    <row r="19" spans="1:6" x14ac:dyDescent="0.3">
      <c r="A19" s="11">
        <v>46240</v>
      </c>
      <c r="B19" s="12" t="s">
        <v>35</v>
      </c>
      <c r="C19" s="12" t="s">
        <v>21</v>
      </c>
      <c r="D19" s="12"/>
      <c r="E19" s="13">
        <v>300</v>
      </c>
      <c r="F19" s="13"/>
    </row>
    <row r="20" spans="1:6" x14ac:dyDescent="0.3">
      <c r="A20" s="12"/>
      <c r="B20" s="12" t="s">
        <v>28</v>
      </c>
      <c r="C20" s="12"/>
      <c r="D20" s="12"/>
      <c r="E20" s="13"/>
      <c r="F20" s="13">
        <v>300</v>
      </c>
    </row>
    <row r="21" spans="1:6" x14ac:dyDescent="0.3">
      <c r="A21" s="12"/>
      <c r="B21" s="12" t="s">
        <v>36</v>
      </c>
      <c r="C21" s="12"/>
      <c r="D21" s="12"/>
      <c r="E21" s="13"/>
      <c r="F21" s="13"/>
    </row>
    <row r="22" spans="1:6" x14ac:dyDescent="0.3">
      <c r="A22" s="11">
        <v>46241</v>
      </c>
      <c r="B22" s="12" t="s">
        <v>37</v>
      </c>
      <c r="C22" s="12" t="s">
        <v>21</v>
      </c>
      <c r="D22" s="12"/>
      <c r="E22" s="13">
        <v>100</v>
      </c>
      <c r="F22" s="13"/>
    </row>
    <row r="23" spans="1:6" x14ac:dyDescent="0.3">
      <c r="A23" s="12"/>
      <c r="B23" s="12" t="s">
        <v>38</v>
      </c>
      <c r="C23" s="12"/>
      <c r="D23" s="12"/>
      <c r="E23" s="13"/>
      <c r="F23" s="13">
        <v>100</v>
      </c>
    </row>
    <row r="24" spans="1:6" x14ac:dyDescent="0.3">
      <c r="A24" s="12"/>
      <c r="B24" s="12" t="s">
        <v>39</v>
      </c>
      <c r="C24" s="12"/>
      <c r="D24" s="12"/>
      <c r="E24" s="13"/>
      <c r="F24" s="13"/>
    </row>
    <row r="25" spans="1:6" x14ac:dyDescent="0.3">
      <c r="A25" s="11">
        <v>46242</v>
      </c>
      <c r="B25" s="12" t="s">
        <v>37</v>
      </c>
      <c r="C25" s="12" t="s">
        <v>21</v>
      </c>
      <c r="D25" s="12"/>
      <c r="E25" s="13">
        <v>200</v>
      </c>
      <c r="F25" s="13"/>
    </row>
    <row r="26" spans="1:6" x14ac:dyDescent="0.3">
      <c r="A26" s="12"/>
      <c r="B26" s="12" t="s">
        <v>38</v>
      </c>
      <c r="C26" s="12"/>
      <c r="D26" s="12"/>
      <c r="E26" s="13"/>
      <c r="F26" s="13">
        <v>200</v>
      </c>
    </row>
    <row r="27" spans="1:6" x14ac:dyDescent="0.3">
      <c r="A27" s="12"/>
      <c r="B27" s="12" t="s">
        <v>39</v>
      </c>
      <c r="C27" s="12"/>
      <c r="D27" s="12"/>
      <c r="E27" s="13"/>
      <c r="F27" s="13"/>
    </row>
    <row r="28" spans="1:6" x14ac:dyDescent="0.3">
      <c r="A28" s="11">
        <v>46243</v>
      </c>
      <c r="B28" s="12" t="s">
        <v>27</v>
      </c>
      <c r="C28" s="12" t="s">
        <v>21</v>
      </c>
      <c r="D28" s="12"/>
      <c r="E28" s="13">
        <v>190</v>
      </c>
      <c r="F28" s="13"/>
    </row>
    <row r="29" spans="1:6" x14ac:dyDescent="0.3">
      <c r="A29" s="12"/>
      <c r="B29" s="12" t="s">
        <v>28</v>
      </c>
      <c r="C29" s="12"/>
      <c r="D29" s="12"/>
      <c r="E29" s="13"/>
      <c r="F29" s="13">
        <v>190</v>
      </c>
    </row>
    <row r="30" spans="1:6" x14ac:dyDescent="0.3">
      <c r="A30" s="12"/>
      <c r="B30" s="12" t="s">
        <v>29</v>
      </c>
      <c r="C30" s="12"/>
      <c r="D30" s="12"/>
      <c r="E30" s="13"/>
      <c r="F30" s="13"/>
    </row>
    <row r="31" spans="1:6" x14ac:dyDescent="0.3">
      <c r="A31" s="11">
        <v>46244</v>
      </c>
      <c r="B31" s="12" t="s">
        <v>40</v>
      </c>
      <c r="C31" s="12" t="s">
        <v>21</v>
      </c>
      <c r="D31" s="12"/>
      <c r="E31" s="12">
        <v>130</v>
      </c>
      <c r="F31" s="12"/>
    </row>
    <row r="32" spans="1:6" x14ac:dyDescent="0.3">
      <c r="A32" s="12"/>
      <c r="B32" s="12" t="s">
        <v>28</v>
      </c>
      <c r="C32" s="12"/>
      <c r="D32" s="12"/>
      <c r="E32" s="12"/>
      <c r="F32" s="12">
        <v>130</v>
      </c>
    </row>
    <row r="33" spans="1:6" x14ac:dyDescent="0.3">
      <c r="A33" s="12"/>
      <c r="B33" s="12" t="s">
        <v>41</v>
      </c>
      <c r="C33" s="12"/>
      <c r="D33" s="12"/>
      <c r="E33" s="12"/>
      <c r="F33" s="12"/>
    </row>
    <row r="34" spans="1:6" x14ac:dyDescent="0.3">
      <c r="A34" s="11">
        <v>46245</v>
      </c>
      <c r="B34" s="12" t="s">
        <v>30</v>
      </c>
      <c r="C34" s="12" t="s">
        <v>21</v>
      </c>
      <c r="D34" s="12"/>
      <c r="E34" s="13">
        <v>1420</v>
      </c>
      <c r="F34" s="13"/>
    </row>
    <row r="35" spans="1:6" x14ac:dyDescent="0.3">
      <c r="A35" s="12"/>
      <c r="B35" s="12" t="s">
        <v>31</v>
      </c>
      <c r="C35" s="12"/>
      <c r="D35" s="12"/>
      <c r="E35" s="13"/>
      <c r="F35" s="13">
        <v>1420</v>
      </c>
    </row>
    <row r="36" spans="1:6" x14ac:dyDescent="0.3">
      <c r="A36" s="12"/>
      <c r="B36" s="12" t="s">
        <v>32</v>
      </c>
      <c r="C36" s="12"/>
      <c r="D36" s="12"/>
      <c r="E36" s="13"/>
      <c r="F36" s="13"/>
    </row>
    <row r="37" spans="1:6" x14ac:dyDescent="0.3">
      <c r="A37" s="11">
        <v>46246</v>
      </c>
      <c r="B37" s="12" t="s">
        <v>35</v>
      </c>
      <c r="C37" s="12" t="s">
        <v>21</v>
      </c>
      <c r="D37" s="12"/>
      <c r="E37" s="13">
        <v>200</v>
      </c>
      <c r="F37" s="13"/>
    </row>
    <row r="38" spans="1:6" x14ac:dyDescent="0.3">
      <c r="A38" s="12"/>
      <c r="B38" s="12" t="s">
        <v>28</v>
      </c>
      <c r="C38" s="12"/>
      <c r="D38" s="12"/>
      <c r="E38" s="13"/>
      <c r="F38" s="13">
        <v>200</v>
      </c>
    </row>
    <row r="39" spans="1:6" x14ac:dyDescent="0.3">
      <c r="A39" s="12"/>
      <c r="B39" s="12" t="s">
        <v>36</v>
      </c>
      <c r="C39" s="12"/>
      <c r="D39" s="12"/>
      <c r="E39" s="13"/>
      <c r="F39" s="13"/>
    </row>
    <row r="40" spans="1:6" x14ac:dyDescent="0.3">
      <c r="A40" s="11">
        <v>46247</v>
      </c>
      <c r="B40" s="12" t="s">
        <v>33</v>
      </c>
      <c r="C40" s="12" t="s">
        <v>21</v>
      </c>
      <c r="D40" s="12"/>
      <c r="E40" s="13">
        <v>500</v>
      </c>
      <c r="F40" s="13"/>
    </row>
    <row r="41" spans="1:6" x14ac:dyDescent="0.3">
      <c r="A41" s="12"/>
      <c r="B41" s="12" t="s">
        <v>31</v>
      </c>
      <c r="C41" s="12"/>
      <c r="D41" s="12"/>
      <c r="E41" s="13"/>
      <c r="F41" s="13">
        <v>500</v>
      </c>
    </row>
    <row r="42" spans="1:6" x14ac:dyDescent="0.3">
      <c r="A42" s="12"/>
      <c r="B42" s="12" t="s">
        <v>34</v>
      </c>
      <c r="C42" s="12"/>
      <c r="D42" s="12"/>
      <c r="E42" s="13"/>
      <c r="F42" s="13"/>
    </row>
    <row r="43" spans="1:6" x14ac:dyDescent="0.3">
      <c r="A43" s="11">
        <v>46249</v>
      </c>
      <c r="B43" s="12" t="s">
        <v>37</v>
      </c>
      <c r="C43" s="12" t="s">
        <v>21</v>
      </c>
      <c r="D43" s="12"/>
      <c r="E43" s="13">
        <v>100</v>
      </c>
      <c r="F43" s="13"/>
    </row>
    <row r="44" spans="1:6" x14ac:dyDescent="0.3">
      <c r="A44" s="12"/>
      <c r="B44" s="12" t="s">
        <v>38</v>
      </c>
      <c r="C44" s="12"/>
      <c r="D44" s="12"/>
      <c r="E44" s="13"/>
      <c r="F44" s="13">
        <v>100</v>
      </c>
    </row>
    <row r="45" spans="1:6" x14ac:dyDescent="0.3">
      <c r="A45" s="12"/>
      <c r="B45" s="12" t="s">
        <v>39</v>
      </c>
      <c r="C45" s="12"/>
      <c r="D45" s="12"/>
      <c r="E45" s="13"/>
      <c r="F45" s="13"/>
    </row>
    <row r="46" spans="1:6" x14ac:dyDescent="0.3">
      <c r="A46" s="11">
        <v>46250</v>
      </c>
      <c r="B46" s="12" t="s">
        <v>27</v>
      </c>
      <c r="C46" s="12" t="s">
        <v>21</v>
      </c>
      <c r="D46" s="12"/>
      <c r="E46" s="13">
        <v>200</v>
      </c>
      <c r="F46" s="13"/>
    </row>
    <row r="47" spans="1:6" x14ac:dyDescent="0.3">
      <c r="A47" s="12"/>
      <c r="B47" s="12" t="s">
        <v>28</v>
      </c>
      <c r="C47" s="12"/>
      <c r="D47" s="12"/>
      <c r="E47" s="13"/>
      <c r="F47" s="13">
        <v>200</v>
      </c>
    </row>
    <row r="48" spans="1:6" x14ac:dyDescent="0.3">
      <c r="A48" s="12"/>
      <c r="B48" s="12" t="s">
        <v>29</v>
      </c>
      <c r="C48" s="12"/>
      <c r="D48" s="12"/>
      <c r="E48" s="13"/>
      <c r="F48" s="13"/>
    </row>
    <row r="49" spans="1:6" x14ac:dyDescent="0.3">
      <c r="A49" s="11">
        <v>46252</v>
      </c>
      <c r="B49" s="12" t="s">
        <v>30</v>
      </c>
      <c r="C49" s="12" t="s">
        <v>21</v>
      </c>
      <c r="D49" s="12"/>
      <c r="E49" s="13">
        <v>1800</v>
      </c>
      <c r="F49" s="13"/>
    </row>
    <row r="50" spans="1:6" x14ac:dyDescent="0.3">
      <c r="A50" s="12"/>
      <c r="B50" s="12" t="s">
        <v>31</v>
      </c>
      <c r="C50" s="12"/>
      <c r="D50" s="12"/>
      <c r="E50" s="13"/>
      <c r="F50" s="13">
        <v>1800</v>
      </c>
    </row>
    <row r="51" spans="1:6" x14ac:dyDescent="0.3">
      <c r="A51" s="12"/>
      <c r="B51" s="12" t="s">
        <v>32</v>
      </c>
      <c r="C51" s="12"/>
      <c r="D51" s="12"/>
      <c r="E51" s="13"/>
      <c r="F51" s="13"/>
    </row>
    <row r="52" spans="1:6" x14ac:dyDescent="0.3">
      <c r="A52" s="11">
        <v>46253</v>
      </c>
      <c r="B52" s="12" t="s">
        <v>35</v>
      </c>
      <c r="C52" s="12" t="s">
        <v>21</v>
      </c>
      <c r="D52" s="12"/>
      <c r="E52" s="13">
        <v>200</v>
      </c>
      <c r="F52" s="13"/>
    </row>
    <row r="53" spans="1:6" x14ac:dyDescent="0.3">
      <c r="A53" s="12"/>
      <c r="B53" s="12" t="s">
        <v>28</v>
      </c>
      <c r="C53" s="12"/>
      <c r="D53" s="12"/>
      <c r="E53" s="13"/>
      <c r="F53" s="13">
        <v>200</v>
      </c>
    </row>
    <row r="54" spans="1:6" x14ac:dyDescent="0.3">
      <c r="A54" s="12"/>
      <c r="B54" s="12" t="s">
        <v>36</v>
      </c>
      <c r="C54" s="12"/>
      <c r="D54" s="12"/>
      <c r="E54" s="13"/>
      <c r="F54" s="13"/>
    </row>
    <row r="55" spans="1:6" x14ac:dyDescent="0.3">
      <c r="A55" s="11">
        <v>46255</v>
      </c>
      <c r="B55" s="12" t="s">
        <v>33</v>
      </c>
      <c r="C55" s="12" t="s">
        <v>21</v>
      </c>
      <c r="D55" s="12"/>
      <c r="E55" s="13">
        <v>500</v>
      </c>
      <c r="F55" s="13"/>
    </row>
    <row r="56" spans="1:6" x14ac:dyDescent="0.3">
      <c r="A56" s="12"/>
      <c r="B56" s="12" t="s">
        <v>31</v>
      </c>
      <c r="C56" s="12"/>
      <c r="D56" s="12"/>
      <c r="E56" s="13"/>
      <c r="F56" s="13">
        <v>500</v>
      </c>
    </row>
    <row r="57" spans="1:6" x14ac:dyDescent="0.3">
      <c r="A57" s="12"/>
      <c r="B57" s="12" t="s">
        <v>34</v>
      </c>
      <c r="C57" s="12"/>
      <c r="D57" s="12"/>
      <c r="E57" s="13"/>
      <c r="F57" s="13"/>
    </row>
    <row r="58" spans="1:6" x14ac:dyDescent="0.3">
      <c r="A58" s="11">
        <v>46256</v>
      </c>
      <c r="B58" s="12" t="s">
        <v>37</v>
      </c>
      <c r="C58" s="12" t="s">
        <v>21</v>
      </c>
      <c r="D58" s="12"/>
      <c r="E58" s="13">
        <v>300</v>
      </c>
      <c r="F58" s="13"/>
    </row>
    <row r="59" spans="1:6" x14ac:dyDescent="0.3">
      <c r="A59" s="12"/>
      <c r="B59" s="12" t="s">
        <v>38</v>
      </c>
      <c r="C59" s="12"/>
      <c r="D59" s="12"/>
      <c r="E59" s="13"/>
      <c r="F59" s="13">
        <v>300</v>
      </c>
    </row>
    <row r="60" spans="1:6" x14ac:dyDescent="0.3">
      <c r="A60" s="12"/>
      <c r="B60" s="12" t="s">
        <v>39</v>
      </c>
      <c r="C60" s="12"/>
      <c r="D60" s="12"/>
      <c r="E60" s="13"/>
      <c r="F60" s="13"/>
    </row>
    <row r="61" spans="1:6" x14ac:dyDescent="0.3">
      <c r="A61" s="11">
        <v>46257</v>
      </c>
      <c r="B61" s="12" t="s">
        <v>27</v>
      </c>
      <c r="C61" s="12" t="s">
        <v>21</v>
      </c>
      <c r="D61" s="12"/>
      <c r="E61" s="13">
        <v>180</v>
      </c>
      <c r="F61" s="13"/>
    </row>
    <row r="62" spans="1:6" x14ac:dyDescent="0.3">
      <c r="A62" s="12"/>
      <c r="B62" s="12" t="s">
        <v>28</v>
      </c>
      <c r="C62" s="12"/>
      <c r="D62" s="12"/>
      <c r="E62" s="13"/>
      <c r="F62" s="13">
        <v>180</v>
      </c>
    </row>
    <row r="63" spans="1:6" x14ac:dyDescent="0.3">
      <c r="A63" s="12"/>
      <c r="B63" s="12" t="s">
        <v>29</v>
      </c>
      <c r="C63" s="12"/>
      <c r="D63" s="12"/>
      <c r="E63" s="13"/>
      <c r="F63" s="13"/>
    </row>
    <row r="64" spans="1:6" x14ac:dyDescent="0.3">
      <c r="A64" s="11">
        <v>46258</v>
      </c>
      <c r="B64" s="12" t="s">
        <v>30</v>
      </c>
      <c r="C64" s="12" t="s">
        <v>21</v>
      </c>
      <c r="D64" s="12"/>
      <c r="E64" s="13">
        <v>2450</v>
      </c>
      <c r="F64" s="13"/>
    </row>
    <row r="65" spans="1:6" x14ac:dyDescent="0.3">
      <c r="A65" s="12"/>
      <c r="B65" s="12" t="s">
        <v>31</v>
      </c>
      <c r="C65" s="12"/>
      <c r="D65" s="12"/>
      <c r="E65" s="13"/>
      <c r="F65" s="13">
        <v>2450</v>
      </c>
    </row>
    <row r="66" spans="1:6" x14ac:dyDescent="0.3">
      <c r="A66" s="12"/>
      <c r="B66" s="12" t="s">
        <v>32</v>
      </c>
      <c r="C66" s="12"/>
      <c r="D66" s="12"/>
      <c r="E66" s="13"/>
      <c r="F66" s="13"/>
    </row>
    <row r="67" spans="1:6" x14ac:dyDescent="0.3">
      <c r="A67" s="11">
        <v>46259</v>
      </c>
      <c r="B67" s="12" t="s">
        <v>35</v>
      </c>
      <c r="C67" s="12" t="s">
        <v>21</v>
      </c>
      <c r="D67" s="12"/>
      <c r="E67" s="13">
        <v>100</v>
      </c>
      <c r="F67" s="13"/>
    </row>
    <row r="68" spans="1:6" x14ac:dyDescent="0.3">
      <c r="A68" s="12"/>
      <c r="B68" s="12" t="s">
        <v>28</v>
      </c>
      <c r="C68" s="12"/>
      <c r="D68" s="12"/>
      <c r="E68" s="13"/>
      <c r="F68" s="13">
        <v>100</v>
      </c>
    </row>
    <row r="69" spans="1:6" x14ac:dyDescent="0.3">
      <c r="A69" s="12"/>
      <c r="B69" s="12" t="s">
        <v>36</v>
      </c>
      <c r="C69" s="12"/>
      <c r="D69" s="12"/>
      <c r="E69" s="13"/>
      <c r="F69" s="13"/>
    </row>
    <row r="70" spans="1:6" x14ac:dyDescent="0.3">
      <c r="A70" s="11">
        <v>46260</v>
      </c>
      <c r="B70" s="12" t="s">
        <v>33</v>
      </c>
      <c r="C70" s="12" t="s">
        <v>21</v>
      </c>
      <c r="D70" s="12"/>
      <c r="E70" s="13">
        <v>500</v>
      </c>
      <c r="F70" s="13"/>
    </row>
    <row r="71" spans="1:6" x14ac:dyDescent="0.3">
      <c r="A71" s="12"/>
      <c r="B71" s="12" t="s">
        <v>31</v>
      </c>
      <c r="C71" s="12"/>
      <c r="D71" s="12"/>
      <c r="E71" s="13"/>
      <c r="F71" s="13">
        <v>500</v>
      </c>
    </row>
    <row r="72" spans="1:6" x14ac:dyDescent="0.3">
      <c r="A72" s="12"/>
      <c r="B72" s="12" t="s">
        <v>34</v>
      </c>
      <c r="C72" s="12"/>
      <c r="D72" s="12"/>
      <c r="E72" s="13"/>
      <c r="F72" s="1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0B3F-0893-4E67-9364-C1E3E599D76B}">
  <dimension ref="A1:N90"/>
  <sheetViews>
    <sheetView topLeftCell="A70" workbookViewId="0">
      <selection activeCell="I95" sqref="I95"/>
    </sheetView>
  </sheetViews>
  <sheetFormatPr defaultRowHeight="14.4" x14ac:dyDescent="0.3"/>
  <cols>
    <col min="2" max="2" width="17.88671875" customWidth="1"/>
    <col min="6" max="6" width="22.6640625" customWidth="1"/>
    <col min="12" max="12" width="22.21875" customWidth="1"/>
  </cols>
  <sheetData>
    <row r="1" spans="1:14" x14ac:dyDescent="0.3">
      <c r="A1" s="35" t="s">
        <v>42</v>
      </c>
      <c r="B1" s="35"/>
      <c r="C1" s="35"/>
      <c r="D1" s="35"/>
      <c r="E1" s="35"/>
      <c r="F1" s="35"/>
      <c r="G1" s="35"/>
      <c r="H1" s="35"/>
    </row>
    <row r="2" spans="1:14" x14ac:dyDescent="0.3">
      <c r="C2" s="36" t="s">
        <v>43</v>
      </c>
      <c r="D2" s="36"/>
      <c r="E2" s="36"/>
    </row>
    <row r="3" spans="1:14" x14ac:dyDescent="0.3">
      <c r="A3" s="14" t="s">
        <v>15</v>
      </c>
      <c r="B3" s="14" t="s">
        <v>44</v>
      </c>
      <c r="C3" s="14" t="s">
        <v>45</v>
      </c>
      <c r="D3" s="15" t="s">
        <v>46</v>
      </c>
      <c r="E3" s="14" t="s">
        <v>15</v>
      </c>
      <c r="F3" s="14" t="s">
        <v>44</v>
      </c>
      <c r="G3" s="14" t="s">
        <v>45</v>
      </c>
      <c r="H3" s="15" t="s">
        <v>46</v>
      </c>
    </row>
    <row r="4" spans="1:14" x14ac:dyDescent="0.3">
      <c r="A4" s="16">
        <v>37104</v>
      </c>
      <c r="B4" s="17" t="s">
        <v>47</v>
      </c>
      <c r="C4" s="17"/>
      <c r="D4" s="18">
        <v>98150</v>
      </c>
      <c r="E4" s="16">
        <v>37834</v>
      </c>
      <c r="F4" s="17" t="s">
        <v>48</v>
      </c>
      <c r="G4" s="17"/>
      <c r="H4" s="19">
        <v>220</v>
      </c>
    </row>
    <row r="5" spans="1:14" x14ac:dyDescent="0.3">
      <c r="A5" s="17"/>
      <c r="B5" s="17"/>
      <c r="C5" s="17"/>
      <c r="D5" s="19"/>
      <c r="E5" s="16">
        <v>38930</v>
      </c>
      <c r="F5" s="17" t="s">
        <v>49</v>
      </c>
      <c r="G5" s="17"/>
      <c r="H5" s="19">
        <v>300</v>
      </c>
    </row>
    <row r="6" spans="1:14" x14ac:dyDescent="0.3">
      <c r="A6" s="17"/>
      <c r="B6" s="17"/>
      <c r="C6" s="17"/>
      <c r="D6" s="19"/>
      <c r="E6" s="16">
        <v>39295</v>
      </c>
      <c r="F6" s="17" t="s">
        <v>50</v>
      </c>
      <c r="G6" s="17"/>
      <c r="H6" s="19">
        <v>100</v>
      </c>
    </row>
    <row r="7" spans="1:14" x14ac:dyDescent="0.3">
      <c r="A7" s="17"/>
      <c r="B7" s="17"/>
      <c r="C7" s="17"/>
      <c r="D7" s="19"/>
      <c r="E7" s="16">
        <v>39661</v>
      </c>
      <c r="F7" s="17" t="s">
        <v>50</v>
      </c>
      <c r="G7" s="17"/>
      <c r="H7" s="19">
        <v>200</v>
      </c>
    </row>
    <row r="8" spans="1:14" x14ac:dyDescent="0.3">
      <c r="A8" s="17"/>
      <c r="B8" s="17"/>
      <c r="C8" s="17"/>
      <c r="D8" s="19"/>
      <c r="E8" s="16">
        <v>40026</v>
      </c>
      <c r="F8" s="17" t="s">
        <v>48</v>
      </c>
      <c r="G8" s="17"/>
      <c r="H8" s="19">
        <v>190</v>
      </c>
      <c r="K8" s="16"/>
      <c r="L8" s="17"/>
      <c r="M8" s="17"/>
      <c r="N8" s="19"/>
    </row>
    <row r="9" spans="1:14" x14ac:dyDescent="0.3">
      <c r="A9" s="17"/>
      <c r="B9" s="17"/>
      <c r="C9" s="17"/>
      <c r="D9" s="19"/>
      <c r="E9" s="16">
        <v>40391</v>
      </c>
      <c r="F9" s="17" t="s">
        <v>51</v>
      </c>
      <c r="G9" s="17"/>
      <c r="H9" s="19">
        <v>130</v>
      </c>
      <c r="K9" s="16"/>
      <c r="L9" s="17"/>
      <c r="M9" s="17"/>
      <c r="N9" s="19"/>
    </row>
    <row r="10" spans="1:14" x14ac:dyDescent="0.3">
      <c r="A10" s="17"/>
      <c r="B10" s="17"/>
      <c r="C10" s="17"/>
      <c r="D10" s="19"/>
      <c r="E10" s="16">
        <v>41122</v>
      </c>
      <c r="F10" s="17" t="s">
        <v>49</v>
      </c>
      <c r="G10" s="17"/>
      <c r="H10" s="19">
        <v>200</v>
      </c>
      <c r="K10" s="16"/>
      <c r="L10" s="17"/>
      <c r="M10" s="17"/>
      <c r="N10" s="19"/>
    </row>
    <row r="11" spans="1:14" x14ac:dyDescent="0.3">
      <c r="A11" s="17"/>
      <c r="B11" s="17"/>
      <c r="C11" s="17"/>
      <c r="D11" s="19"/>
      <c r="E11" s="16">
        <v>42217</v>
      </c>
      <c r="F11" s="17" t="s">
        <v>50</v>
      </c>
      <c r="G11" s="17"/>
      <c r="H11" s="19">
        <v>100</v>
      </c>
    </row>
    <row r="12" spans="1:14" x14ac:dyDescent="0.3">
      <c r="A12" s="17"/>
      <c r="B12" s="17"/>
      <c r="C12" s="17"/>
      <c r="D12" s="19"/>
      <c r="E12" s="16">
        <v>42583</v>
      </c>
      <c r="F12" s="17" t="s">
        <v>48</v>
      </c>
      <c r="G12" s="17"/>
      <c r="H12" s="19">
        <v>200</v>
      </c>
    </row>
    <row r="13" spans="1:14" x14ac:dyDescent="0.3">
      <c r="A13" s="17"/>
      <c r="B13" s="17"/>
      <c r="C13" s="17"/>
      <c r="D13" s="19"/>
      <c r="E13" s="16">
        <v>43678</v>
      </c>
      <c r="F13" s="17" t="s">
        <v>49</v>
      </c>
      <c r="G13" s="17"/>
      <c r="H13" s="19">
        <v>200</v>
      </c>
    </row>
    <row r="14" spans="1:14" x14ac:dyDescent="0.3">
      <c r="A14" s="17"/>
      <c r="B14" s="17"/>
      <c r="C14" s="17"/>
      <c r="D14" s="19"/>
      <c r="E14" s="16">
        <v>44774</v>
      </c>
      <c r="F14" s="17" t="s">
        <v>50</v>
      </c>
      <c r="G14" s="17"/>
      <c r="H14" s="19">
        <v>300</v>
      </c>
      <c r="L14" s="23"/>
    </row>
    <row r="15" spans="1:14" x14ac:dyDescent="0.3">
      <c r="A15" s="17"/>
      <c r="B15" s="17"/>
      <c r="C15" s="17"/>
      <c r="D15" s="19"/>
      <c r="E15" s="16">
        <v>45139</v>
      </c>
      <c r="F15" s="17" t="s">
        <v>48</v>
      </c>
      <c r="G15" s="17"/>
      <c r="H15" s="19">
        <v>180</v>
      </c>
    </row>
    <row r="16" spans="1:14" x14ac:dyDescent="0.3">
      <c r="A16" s="17"/>
      <c r="B16" s="17"/>
      <c r="C16" s="17"/>
      <c r="D16" s="19"/>
      <c r="E16" s="16">
        <v>45870</v>
      </c>
      <c r="F16" s="17" t="s">
        <v>49</v>
      </c>
      <c r="G16" s="17"/>
      <c r="H16" s="19">
        <v>100</v>
      </c>
    </row>
    <row r="17" spans="1:12" x14ac:dyDescent="0.3">
      <c r="A17" s="17"/>
      <c r="B17" s="17"/>
      <c r="C17" s="17"/>
      <c r="D17" s="19"/>
      <c r="E17" s="16">
        <v>11536</v>
      </c>
      <c r="F17" s="17" t="s">
        <v>52</v>
      </c>
      <c r="G17" s="17"/>
      <c r="H17" s="20">
        <v>95730</v>
      </c>
    </row>
    <row r="18" spans="1:12" x14ac:dyDescent="0.3">
      <c r="A18" s="17"/>
      <c r="B18" s="17"/>
      <c r="C18" s="17"/>
      <c r="D18" s="19"/>
      <c r="E18" s="16"/>
      <c r="F18" s="17"/>
      <c r="G18" s="17"/>
      <c r="H18" s="20"/>
    </row>
    <row r="19" spans="1:12" x14ac:dyDescent="0.3">
      <c r="A19" s="21"/>
      <c r="B19" s="17"/>
      <c r="C19" s="17"/>
      <c r="D19" s="20">
        <f>SUM(D4:D17)</f>
        <v>98150</v>
      </c>
      <c r="E19" s="21"/>
      <c r="F19" s="17"/>
      <c r="G19" s="17"/>
      <c r="H19" s="20">
        <f>SUM(H4:H17)</f>
        <v>98150</v>
      </c>
    </row>
    <row r="21" spans="1:12" x14ac:dyDescent="0.3">
      <c r="C21" s="36" t="s">
        <v>53</v>
      </c>
      <c r="D21" s="36"/>
      <c r="E21" s="36"/>
    </row>
    <row r="22" spans="1:12" x14ac:dyDescent="0.3">
      <c r="A22" s="14" t="s">
        <v>15</v>
      </c>
      <c r="B22" s="14" t="s">
        <v>44</v>
      </c>
      <c r="C22" s="22" t="s">
        <v>45</v>
      </c>
      <c r="D22" s="15" t="s">
        <v>46</v>
      </c>
      <c r="E22" s="14" t="s">
        <v>15</v>
      </c>
      <c r="F22" s="14" t="s">
        <v>44</v>
      </c>
      <c r="G22" s="15" t="s">
        <v>45</v>
      </c>
      <c r="H22" s="15" t="s">
        <v>46</v>
      </c>
    </row>
    <row r="23" spans="1:12" x14ac:dyDescent="0.3">
      <c r="A23" s="16">
        <v>37104</v>
      </c>
      <c r="B23" s="17" t="s">
        <v>47</v>
      </c>
      <c r="D23" s="18">
        <v>93368</v>
      </c>
      <c r="E23" s="16">
        <v>38200</v>
      </c>
      <c r="F23" s="17" t="s">
        <v>54</v>
      </c>
      <c r="G23" s="18"/>
      <c r="H23" s="18">
        <v>5240</v>
      </c>
    </row>
    <row r="24" spans="1:12" x14ac:dyDescent="0.3">
      <c r="A24" s="16">
        <v>37469</v>
      </c>
      <c r="B24" s="17" t="s">
        <v>55</v>
      </c>
      <c r="D24" s="18">
        <v>100000</v>
      </c>
      <c r="E24" s="16">
        <v>38565</v>
      </c>
      <c r="F24" s="17" t="s">
        <v>56</v>
      </c>
      <c r="G24" s="19"/>
      <c r="H24" s="19">
        <v>400</v>
      </c>
    </row>
    <row r="25" spans="1:12" x14ac:dyDescent="0.3">
      <c r="A25" s="17"/>
      <c r="B25" s="17"/>
      <c r="D25" s="19"/>
      <c r="E25" s="16">
        <v>40756</v>
      </c>
      <c r="F25" s="17" t="s">
        <v>54</v>
      </c>
      <c r="G25" s="18"/>
      <c r="H25" s="18">
        <v>1420</v>
      </c>
    </row>
    <row r="26" spans="1:12" x14ac:dyDescent="0.3">
      <c r="A26" s="17"/>
      <c r="B26" s="17"/>
      <c r="D26" s="19"/>
      <c r="E26" s="16">
        <v>41487</v>
      </c>
      <c r="F26" s="17" t="s">
        <v>56</v>
      </c>
      <c r="G26" s="19"/>
      <c r="H26" s="19">
        <v>500</v>
      </c>
    </row>
    <row r="27" spans="1:12" x14ac:dyDescent="0.3">
      <c r="A27" s="17"/>
      <c r="B27" s="17"/>
      <c r="D27" s="19"/>
      <c r="E27" s="16">
        <v>43313</v>
      </c>
      <c r="F27" s="17" t="s">
        <v>54</v>
      </c>
      <c r="G27" s="18"/>
      <c r="H27" s="18">
        <v>1800</v>
      </c>
    </row>
    <row r="28" spans="1:12" x14ac:dyDescent="0.3">
      <c r="A28" s="17"/>
      <c r="B28" s="17"/>
      <c r="D28" s="19"/>
      <c r="E28" s="16">
        <v>44409</v>
      </c>
      <c r="F28" s="17" t="s">
        <v>56</v>
      </c>
      <c r="G28" s="19"/>
      <c r="H28" s="19">
        <v>500</v>
      </c>
    </row>
    <row r="29" spans="1:12" x14ac:dyDescent="0.3">
      <c r="A29" s="17"/>
      <c r="B29" s="17"/>
      <c r="D29" s="19"/>
      <c r="E29" s="16">
        <v>45505</v>
      </c>
      <c r="F29" s="17" t="s">
        <v>54</v>
      </c>
      <c r="G29" s="18"/>
      <c r="H29" s="18">
        <v>2450</v>
      </c>
      <c r="L29" s="23"/>
    </row>
    <row r="30" spans="1:12" x14ac:dyDescent="0.3">
      <c r="A30" s="17"/>
      <c r="B30" s="17"/>
      <c r="D30" s="19"/>
      <c r="E30" s="16">
        <v>46235</v>
      </c>
      <c r="F30" s="17" t="s">
        <v>56</v>
      </c>
      <c r="G30" s="19"/>
      <c r="H30" s="19">
        <v>500</v>
      </c>
    </row>
    <row r="31" spans="1:12" x14ac:dyDescent="0.3">
      <c r="A31" s="17"/>
      <c r="B31" s="17"/>
      <c r="D31" s="19"/>
      <c r="E31" s="16">
        <v>11536</v>
      </c>
      <c r="F31" s="17" t="s">
        <v>52</v>
      </c>
      <c r="G31" s="20"/>
      <c r="H31" s="20">
        <v>180558</v>
      </c>
    </row>
    <row r="32" spans="1:12" x14ac:dyDescent="0.3">
      <c r="A32" s="21" t="s">
        <v>57</v>
      </c>
      <c r="B32" s="17"/>
      <c r="D32" s="20">
        <f>SUM(D23:D31)</f>
        <v>193368</v>
      </c>
      <c r="E32" s="21" t="s">
        <v>57</v>
      </c>
      <c r="F32" s="17"/>
      <c r="G32" s="20"/>
      <c r="H32" s="20">
        <f>SUM(H23:H31)</f>
        <v>193368</v>
      </c>
    </row>
    <row r="34" spans="1:8" x14ac:dyDescent="0.3">
      <c r="D34" s="36" t="s">
        <v>58</v>
      </c>
      <c r="E34" s="36"/>
    </row>
    <row r="35" spans="1:8" x14ac:dyDescent="0.3">
      <c r="A35" s="14" t="s">
        <v>15</v>
      </c>
      <c r="B35" s="14" t="s">
        <v>44</v>
      </c>
      <c r="D35" s="15" t="s">
        <v>46</v>
      </c>
      <c r="E35" s="14" t="s">
        <v>15</v>
      </c>
      <c r="F35" s="14" t="s">
        <v>44</v>
      </c>
      <c r="H35" s="15" t="s">
        <v>46</v>
      </c>
    </row>
    <row r="36" spans="1:8" x14ac:dyDescent="0.3">
      <c r="A36" s="16">
        <v>11536</v>
      </c>
      <c r="B36" s="17" t="s">
        <v>52</v>
      </c>
      <c r="D36" s="20">
        <v>191518</v>
      </c>
      <c r="E36" s="16">
        <v>37104</v>
      </c>
      <c r="F36" s="17" t="s">
        <v>59</v>
      </c>
      <c r="H36" s="18">
        <v>98150</v>
      </c>
    </row>
    <row r="37" spans="1:8" x14ac:dyDescent="0.3">
      <c r="A37" s="17"/>
      <c r="B37" s="17"/>
      <c r="D37" s="19"/>
      <c r="E37" s="16">
        <v>37104</v>
      </c>
      <c r="F37" s="17" t="s">
        <v>60</v>
      </c>
      <c r="H37" s="18">
        <v>93368</v>
      </c>
    </row>
    <row r="38" spans="1:8" x14ac:dyDescent="0.3">
      <c r="A38" s="21" t="s">
        <v>57</v>
      </c>
      <c r="B38" s="17"/>
      <c r="D38" s="20">
        <f>SUM(D36:D37)</f>
        <v>191518</v>
      </c>
      <c r="E38" s="21" t="s">
        <v>57</v>
      </c>
      <c r="F38" s="17"/>
      <c r="H38" s="20">
        <f>SUM(H36:H37)</f>
        <v>191518</v>
      </c>
    </row>
    <row r="40" spans="1:8" x14ac:dyDescent="0.3">
      <c r="D40" s="36" t="s">
        <v>61</v>
      </c>
      <c r="E40" s="36"/>
    </row>
    <row r="41" spans="1:8" x14ac:dyDescent="0.3">
      <c r="A41" s="14" t="s">
        <v>15</v>
      </c>
      <c r="B41" s="14" t="s">
        <v>44</v>
      </c>
      <c r="D41" s="15" t="s">
        <v>46</v>
      </c>
      <c r="E41" s="14" t="s">
        <v>15</v>
      </c>
      <c r="F41" s="14" t="s">
        <v>44</v>
      </c>
      <c r="H41" s="15" t="s">
        <v>46</v>
      </c>
    </row>
    <row r="42" spans="1:8" x14ac:dyDescent="0.3">
      <c r="A42" s="16">
        <v>11536</v>
      </c>
      <c r="B42" s="17" t="s">
        <v>62</v>
      </c>
      <c r="D42" s="20">
        <v>100000</v>
      </c>
      <c r="E42" s="16">
        <v>37469</v>
      </c>
      <c r="F42" s="17" t="s">
        <v>60</v>
      </c>
      <c r="H42" s="18">
        <v>100000</v>
      </c>
    </row>
    <row r="43" spans="1:8" x14ac:dyDescent="0.3">
      <c r="A43" s="16"/>
      <c r="B43" s="17"/>
      <c r="D43" s="20"/>
      <c r="E43" s="16"/>
      <c r="F43" s="17"/>
      <c r="H43" s="18"/>
    </row>
    <row r="44" spans="1:8" x14ac:dyDescent="0.3">
      <c r="A44" s="21" t="s">
        <v>57</v>
      </c>
      <c r="B44" s="17"/>
      <c r="D44" s="20">
        <f>SUM(D42)</f>
        <v>100000</v>
      </c>
      <c r="E44" s="21" t="s">
        <v>57</v>
      </c>
      <c r="F44" s="17"/>
      <c r="H44" s="20">
        <f>SUM(H42)</f>
        <v>100000</v>
      </c>
    </row>
    <row r="46" spans="1:8" x14ac:dyDescent="0.3">
      <c r="A46" s="36" t="s">
        <v>63</v>
      </c>
      <c r="B46" s="36"/>
      <c r="C46" s="36"/>
      <c r="D46" s="36"/>
      <c r="E46" s="36"/>
      <c r="F46" s="36"/>
      <c r="G46" s="36"/>
      <c r="H46" s="36"/>
    </row>
    <row r="47" spans="1:8" x14ac:dyDescent="0.3">
      <c r="A47" s="14" t="s">
        <v>15</v>
      </c>
      <c r="B47" s="14" t="s">
        <v>44</v>
      </c>
      <c r="D47" s="15" t="s">
        <v>46</v>
      </c>
      <c r="E47" s="14" t="s">
        <v>15</v>
      </c>
      <c r="F47" s="14" t="s">
        <v>44</v>
      </c>
      <c r="H47" s="15" t="s">
        <v>46</v>
      </c>
    </row>
    <row r="48" spans="1:8" x14ac:dyDescent="0.3">
      <c r="A48" s="16">
        <v>37834</v>
      </c>
      <c r="B48" s="17" t="s">
        <v>64</v>
      </c>
      <c r="D48" s="19">
        <v>220</v>
      </c>
      <c r="E48" s="16">
        <v>11536</v>
      </c>
      <c r="F48" s="17" t="s">
        <v>52</v>
      </c>
      <c r="H48" s="19">
        <v>790</v>
      </c>
    </row>
    <row r="49" spans="1:8" x14ac:dyDescent="0.3">
      <c r="A49" s="16">
        <v>40026</v>
      </c>
      <c r="B49" s="17" t="s">
        <v>64</v>
      </c>
      <c r="D49" s="19">
        <v>190</v>
      </c>
      <c r="E49" s="17"/>
      <c r="F49" s="17"/>
      <c r="H49" s="19"/>
    </row>
    <row r="50" spans="1:8" x14ac:dyDescent="0.3">
      <c r="A50" s="16">
        <v>42583</v>
      </c>
      <c r="B50" s="17" t="s">
        <v>64</v>
      </c>
      <c r="D50" s="19">
        <v>200</v>
      </c>
      <c r="E50" s="17"/>
      <c r="F50" s="17"/>
      <c r="H50" s="19"/>
    </row>
    <row r="51" spans="1:8" x14ac:dyDescent="0.3">
      <c r="A51" s="16">
        <v>45139</v>
      </c>
      <c r="B51" s="17" t="s">
        <v>64</v>
      </c>
      <c r="D51" s="19">
        <v>180</v>
      </c>
      <c r="E51" s="17"/>
      <c r="F51" s="17"/>
      <c r="H51" s="19"/>
    </row>
    <row r="52" spans="1:8" x14ac:dyDescent="0.3">
      <c r="A52" s="21" t="s">
        <v>57</v>
      </c>
      <c r="B52" s="17"/>
      <c r="D52" s="15">
        <f>SUM(D48:D51)</f>
        <v>790</v>
      </c>
      <c r="E52" s="21" t="s">
        <v>57</v>
      </c>
      <c r="F52" s="17"/>
      <c r="H52" s="15">
        <f>SUM(H48:H50)</f>
        <v>790</v>
      </c>
    </row>
    <row r="54" spans="1:8" x14ac:dyDescent="0.3">
      <c r="A54" s="36" t="s">
        <v>65</v>
      </c>
      <c r="B54" s="36"/>
      <c r="C54" s="36"/>
      <c r="D54" s="36"/>
      <c r="E54" s="36"/>
      <c r="F54" s="36"/>
      <c r="G54" s="36"/>
      <c r="H54" s="36"/>
    </row>
    <row r="55" spans="1:8" x14ac:dyDescent="0.3">
      <c r="A55" s="14" t="s">
        <v>15</v>
      </c>
      <c r="B55" s="14" t="s">
        <v>44</v>
      </c>
      <c r="D55" s="15" t="s">
        <v>46</v>
      </c>
      <c r="E55" s="14" t="s">
        <v>15</v>
      </c>
      <c r="F55" s="14" t="s">
        <v>44</v>
      </c>
      <c r="H55" s="15" t="s">
        <v>46</v>
      </c>
    </row>
    <row r="56" spans="1:8" x14ac:dyDescent="0.3">
      <c r="A56" s="16">
        <v>38200</v>
      </c>
      <c r="B56" s="17" t="s">
        <v>66</v>
      </c>
      <c r="D56" s="18">
        <v>5240</v>
      </c>
      <c r="E56" s="16">
        <v>11536</v>
      </c>
      <c r="F56" s="17" t="s">
        <v>52</v>
      </c>
      <c r="H56" s="18">
        <v>10910</v>
      </c>
    </row>
    <row r="57" spans="1:8" x14ac:dyDescent="0.3">
      <c r="A57" s="16">
        <v>40756</v>
      </c>
      <c r="B57" s="17" t="s">
        <v>66</v>
      </c>
      <c r="D57" s="18">
        <v>1420</v>
      </c>
      <c r="E57" s="17"/>
      <c r="F57" s="17"/>
      <c r="H57" s="19"/>
    </row>
    <row r="58" spans="1:8" x14ac:dyDescent="0.3">
      <c r="A58" s="16">
        <v>43313</v>
      </c>
      <c r="B58" s="17" t="s">
        <v>66</v>
      </c>
      <c r="D58" s="18">
        <v>1800</v>
      </c>
      <c r="E58" s="17"/>
      <c r="F58" s="17"/>
      <c r="H58" s="19"/>
    </row>
    <row r="59" spans="1:8" x14ac:dyDescent="0.3">
      <c r="A59" s="16">
        <v>45505</v>
      </c>
      <c r="B59" s="17" t="s">
        <v>66</v>
      </c>
      <c r="D59" s="18">
        <v>2450</v>
      </c>
      <c r="E59" s="17"/>
      <c r="F59" s="17"/>
      <c r="H59" s="19"/>
    </row>
    <row r="60" spans="1:8" x14ac:dyDescent="0.3">
      <c r="A60" s="21" t="s">
        <v>57</v>
      </c>
      <c r="B60" s="17"/>
      <c r="D60" s="20">
        <f>SUM(D56:D59)</f>
        <v>10910</v>
      </c>
      <c r="E60" s="21" t="s">
        <v>57</v>
      </c>
      <c r="F60" s="17"/>
      <c r="H60" s="20">
        <f>SUM(H56:H58)</f>
        <v>10910</v>
      </c>
    </row>
    <row r="62" spans="1:8" x14ac:dyDescent="0.3">
      <c r="A62" s="36" t="s">
        <v>67</v>
      </c>
      <c r="B62" s="36"/>
      <c r="C62" s="36"/>
      <c r="D62" s="36"/>
      <c r="E62" s="36"/>
      <c r="F62" s="36"/>
      <c r="G62" s="36"/>
      <c r="H62" s="36"/>
    </row>
    <row r="63" spans="1:8" x14ac:dyDescent="0.3">
      <c r="A63" s="14" t="s">
        <v>15</v>
      </c>
      <c r="B63" s="14" t="s">
        <v>44</v>
      </c>
      <c r="D63" s="15" t="s">
        <v>46</v>
      </c>
      <c r="E63" s="14" t="s">
        <v>15</v>
      </c>
      <c r="F63" s="14" t="s">
        <v>44</v>
      </c>
      <c r="H63" s="15" t="s">
        <v>46</v>
      </c>
    </row>
    <row r="64" spans="1:8" x14ac:dyDescent="0.3">
      <c r="A64" s="16">
        <v>38565</v>
      </c>
      <c r="B64" s="17" t="s">
        <v>66</v>
      </c>
      <c r="D64" s="19">
        <v>400</v>
      </c>
      <c r="E64" s="16">
        <v>11536</v>
      </c>
      <c r="F64" s="17" t="s">
        <v>52</v>
      </c>
      <c r="H64" s="18">
        <v>1900</v>
      </c>
    </row>
    <row r="65" spans="1:8" x14ac:dyDescent="0.3">
      <c r="A65" s="16">
        <v>41487</v>
      </c>
      <c r="B65" s="17" t="s">
        <v>66</v>
      </c>
      <c r="D65" s="19">
        <v>500</v>
      </c>
      <c r="E65" s="17"/>
      <c r="F65" s="17"/>
      <c r="H65" s="19"/>
    </row>
    <row r="66" spans="1:8" x14ac:dyDescent="0.3">
      <c r="A66" s="16">
        <v>44409</v>
      </c>
      <c r="B66" s="17" t="s">
        <v>66</v>
      </c>
      <c r="D66" s="19">
        <v>500</v>
      </c>
      <c r="E66" s="17"/>
      <c r="F66" s="17"/>
      <c r="H66" s="19"/>
    </row>
    <row r="67" spans="1:8" x14ac:dyDescent="0.3">
      <c r="A67" s="16">
        <v>46235</v>
      </c>
      <c r="B67" s="17" t="s">
        <v>66</v>
      </c>
      <c r="D67" s="19">
        <v>500</v>
      </c>
      <c r="E67" s="17"/>
      <c r="F67" s="17"/>
      <c r="H67" s="19"/>
    </row>
    <row r="68" spans="1:8" x14ac:dyDescent="0.3">
      <c r="A68" s="21" t="s">
        <v>57</v>
      </c>
      <c r="B68" s="17"/>
      <c r="D68" s="20">
        <f>SUM(D64:D67)</f>
        <v>1900</v>
      </c>
      <c r="E68" s="21" t="s">
        <v>57</v>
      </c>
      <c r="F68" s="17"/>
      <c r="H68" s="20">
        <f>SUM(H64:H66)</f>
        <v>1900</v>
      </c>
    </row>
    <row r="70" spans="1:8" x14ac:dyDescent="0.3">
      <c r="A70" s="36" t="s">
        <v>68</v>
      </c>
      <c r="B70" s="36"/>
      <c r="C70" s="36"/>
      <c r="D70" s="36"/>
      <c r="E70" s="36"/>
      <c r="F70" s="36"/>
      <c r="G70" s="36"/>
      <c r="H70" s="36"/>
    </row>
    <row r="71" spans="1:8" x14ac:dyDescent="0.3">
      <c r="A71" s="14" t="s">
        <v>15</v>
      </c>
      <c r="B71" s="14" t="s">
        <v>44</v>
      </c>
      <c r="D71" s="15" t="s">
        <v>46</v>
      </c>
      <c r="E71" s="14" t="s">
        <v>15</v>
      </c>
      <c r="F71" s="14" t="s">
        <v>44</v>
      </c>
      <c r="H71" s="15" t="s">
        <v>46</v>
      </c>
    </row>
    <row r="72" spans="1:8" x14ac:dyDescent="0.3">
      <c r="A72" s="16">
        <v>38930</v>
      </c>
      <c r="B72" s="17" t="s">
        <v>64</v>
      </c>
      <c r="D72" s="19">
        <v>300</v>
      </c>
      <c r="E72" s="16">
        <v>11536</v>
      </c>
      <c r="F72" s="17" t="s">
        <v>52</v>
      </c>
      <c r="H72" s="19">
        <v>800</v>
      </c>
    </row>
    <row r="73" spans="1:8" x14ac:dyDescent="0.3">
      <c r="A73" s="16">
        <v>41122</v>
      </c>
      <c r="B73" s="17" t="s">
        <v>64</v>
      </c>
      <c r="D73" s="19">
        <v>200</v>
      </c>
      <c r="E73" s="17"/>
      <c r="F73" s="17"/>
      <c r="H73" s="19"/>
    </row>
    <row r="74" spans="1:8" x14ac:dyDescent="0.3">
      <c r="A74" s="16">
        <v>43678</v>
      </c>
      <c r="B74" s="17" t="s">
        <v>64</v>
      </c>
      <c r="D74" s="19">
        <v>200</v>
      </c>
      <c r="E74" s="17"/>
      <c r="F74" s="17"/>
      <c r="H74" s="19"/>
    </row>
    <row r="75" spans="1:8" x14ac:dyDescent="0.3">
      <c r="A75" s="16">
        <v>45870</v>
      </c>
      <c r="B75" s="17" t="s">
        <v>64</v>
      </c>
      <c r="D75" s="19">
        <v>100</v>
      </c>
      <c r="E75" s="17"/>
      <c r="F75" s="17"/>
      <c r="H75" s="19"/>
    </row>
    <row r="76" spans="1:8" x14ac:dyDescent="0.3">
      <c r="A76" s="21" t="s">
        <v>57</v>
      </c>
      <c r="B76" s="17"/>
      <c r="D76" s="15">
        <f>SUM(D72:D75)</f>
        <v>800</v>
      </c>
      <c r="E76" s="21" t="s">
        <v>57</v>
      </c>
      <c r="F76" s="17"/>
      <c r="H76" s="15">
        <f>SUM(H72:H74)</f>
        <v>800</v>
      </c>
    </row>
    <row r="78" spans="1:8" x14ac:dyDescent="0.3">
      <c r="A78" s="36" t="s">
        <v>69</v>
      </c>
      <c r="B78" s="36"/>
      <c r="C78" s="36"/>
      <c r="D78" s="36"/>
      <c r="E78" s="36"/>
      <c r="F78" s="36"/>
      <c r="G78" s="36"/>
      <c r="H78" s="36"/>
    </row>
    <row r="79" spans="1:8" x14ac:dyDescent="0.3">
      <c r="A79" s="14" t="s">
        <v>15</v>
      </c>
      <c r="B79" s="14" t="s">
        <v>44</v>
      </c>
      <c r="D79" s="15" t="s">
        <v>46</v>
      </c>
      <c r="E79" s="14" t="s">
        <v>15</v>
      </c>
      <c r="F79" s="14" t="s">
        <v>44</v>
      </c>
      <c r="H79" s="15" t="s">
        <v>46</v>
      </c>
    </row>
    <row r="80" spans="1:8" x14ac:dyDescent="0.3">
      <c r="A80" s="16">
        <v>39295</v>
      </c>
      <c r="B80" s="17" t="s">
        <v>64</v>
      </c>
      <c r="D80" s="19">
        <v>100</v>
      </c>
      <c r="E80" s="16">
        <v>11536</v>
      </c>
      <c r="F80" s="17" t="s">
        <v>52</v>
      </c>
      <c r="H80" s="19">
        <v>700</v>
      </c>
    </row>
    <row r="81" spans="1:8" x14ac:dyDescent="0.3">
      <c r="A81" s="16">
        <v>39661</v>
      </c>
      <c r="B81" s="17" t="s">
        <v>64</v>
      </c>
      <c r="D81" s="19">
        <v>200</v>
      </c>
      <c r="E81" s="17"/>
      <c r="F81" s="17"/>
      <c r="H81" s="19"/>
    </row>
    <row r="82" spans="1:8" x14ac:dyDescent="0.3">
      <c r="A82" s="16">
        <v>42217</v>
      </c>
      <c r="B82" s="17" t="s">
        <v>64</v>
      </c>
      <c r="D82" s="19">
        <v>100</v>
      </c>
      <c r="E82" s="17"/>
      <c r="F82" s="17"/>
      <c r="H82" s="19"/>
    </row>
    <row r="83" spans="1:8" x14ac:dyDescent="0.3">
      <c r="A83" s="16">
        <v>44774</v>
      </c>
      <c r="B83" s="17" t="s">
        <v>64</v>
      </c>
      <c r="D83" s="19">
        <v>300</v>
      </c>
      <c r="E83" s="17"/>
      <c r="F83" s="17"/>
      <c r="H83" s="19"/>
    </row>
    <row r="84" spans="1:8" x14ac:dyDescent="0.3">
      <c r="A84" s="21" t="s">
        <v>57</v>
      </c>
      <c r="B84" s="17"/>
      <c r="D84" s="15">
        <f>SUM(D80:D83)</f>
        <v>700</v>
      </c>
      <c r="E84" s="21" t="s">
        <v>57</v>
      </c>
      <c r="F84" s="17"/>
      <c r="H84" s="15">
        <f>SUM(H80:H82)</f>
        <v>700</v>
      </c>
    </row>
    <row r="86" spans="1:8" x14ac:dyDescent="0.3">
      <c r="A86" s="36" t="s">
        <v>70</v>
      </c>
      <c r="B86" s="36"/>
      <c r="C86" s="36"/>
      <c r="D86" s="36"/>
      <c r="E86" s="36"/>
      <c r="F86" s="36"/>
      <c r="G86" s="36"/>
      <c r="H86" s="36"/>
    </row>
    <row r="87" spans="1:8" x14ac:dyDescent="0.3">
      <c r="A87" s="14" t="s">
        <v>15</v>
      </c>
      <c r="B87" s="14" t="s">
        <v>44</v>
      </c>
      <c r="D87" s="15" t="s">
        <v>46</v>
      </c>
      <c r="E87" s="14" t="s">
        <v>15</v>
      </c>
      <c r="F87" s="14" t="s">
        <v>44</v>
      </c>
      <c r="H87" s="15" t="s">
        <v>46</v>
      </c>
    </row>
    <row r="88" spans="1:8" x14ac:dyDescent="0.3">
      <c r="A88" s="16">
        <v>40391</v>
      </c>
      <c r="B88" s="17" t="s">
        <v>64</v>
      </c>
      <c r="D88" s="19">
        <v>130</v>
      </c>
      <c r="E88" s="16">
        <v>11536</v>
      </c>
      <c r="F88" s="17" t="s">
        <v>52</v>
      </c>
      <c r="H88" s="19">
        <v>130</v>
      </c>
    </row>
    <row r="89" spans="1:8" x14ac:dyDescent="0.3">
      <c r="A89" s="16"/>
      <c r="B89" s="17"/>
      <c r="D89" s="19"/>
      <c r="E89" s="16"/>
      <c r="F89" s="17"/>
      <c r="H89" s="19"/>
    </row>
    <row r="90" spans="1:8" x14ac:dyDescent="0.3">
      <c r="A90" s="21" t="s">
        <v>57</v>
      </c>
      <c r="B90" s="17"/>
      <c r="D90" s="15">
        <f>SUM(D88:D89)</f>
        <v>130</v>
      </c>
      <c r="E90" s="21" t="s">
        <v>57</v>
      </c>
      <c r="F90" s="17"/>
      <c r="H90" s="15">
        <f>SUM(H88:H89)</f>
        <v>130</v>
      </c>
    </row>
  </sheetData>
  <mergeCells count="11">
    <mergeCell ref="A46:H46"/>
    <mergeCell ref="A1:H1"/>
    <mergeCell ref="C2:E2"/>
    <mergeCell ref="C21:E21"/>
    <mergeCell ref="D34:E34"/>
    <mergeCell ref="D40:E40"/>
    <mergeCell ref="A54:H54"/>
    <mergeCell ref="A62:H62"/>
    <mergeCell ref="A70:H70"/>
    <mergeCell ref="A78:H78"/>
    <mergeCell ref="A86:H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D950-F45F-4AFA-A420-699D537C66C7}">
  <dimension ref="A1:D14"/>
  <sheetViews>
    <sheetView workbookViewId="0">
      <selection activeCell="F19" sqref="F19"/>
    </sheetView>
  </sheetViews>
  <sheetFormatPr defaultRowHeight="14.4" x14ac:dyDescent="0.3"/>
  <cols>
    <col min="2" max="2" width="26.6640625" customWidth="1"/>
    <col min="3" max="4" width="11.33203125" style="8" bestFit="1" customWidth="1"/>
  </cols>
  <sheetData>
    <row r="1" spans="1:4" ht="18" x14ac:dyDescent="0.3">
      <c r="A1" s="40" t="s">
        <v>84</v>
      </c>
      <c r="B1" s="40"/>
      <c r="C1" s="40"/>
      <c r="D1" s="40"/>
    </row>
    <row r="3" spans="1:4" x14ac:dyDescent="0.3">
      <c r="A3" s="14" t="s">
        <v>71</v>
      </c>
      <c r="B3" s="14" t="s">
        <v>44</v>
      </c>
      <c r="C3" s="38" t="s">
        <v>82</v>
      </c>
      <c r="D3" s="38" t="s">
        <v>83</v>
      </c>
    </row>
    <row r="4" spans="1:4" x14ac:dyDescent="0.3">
      <c r="A4" s="17">
        <v>1</v>
      </c>
      <c r="B4" s="17" t="s">
        <v>72</v>
      </c>
      <c r="C4" s="39">
        <v>95730</v>
      </c>
      <c r="D4" s="39"/>
    </row>
    <row r="5" spans="1:4" x14ac:dyDescent="0.3">
      <c r="A5" s="17">
        <v>2</v>
      </c>
      <c r="B5" s="17" t="s">
        <v>73</v>
      </c>
      <c r="C5" s="39">
        <v>180558</v>
      </c>
      <c r="D5" s="39"/>
    </row>
    <row r="6" spans="1:4" x14ac:dyDescent="0.3">
      <c r="A6" s="17">
        <v>3</v>
      </c>
      <c r="B6" s="17" t="s">
        <v>74</v>
      </c>
      <c r="C6" s="39"/>
      <c r="D6" s="39">
        <v>191518</v>
      </c>
    </row>
    <row r="7" spans="1:4" x14ac:dyDescent="0.3">
      <c r="A7" s="17">
        <v>4</v>
      </c>
      <c r="B7" s="17" t="s">
        <v>75</v>
      </c>
      <c r="C7" s="39"/>
      <c r="D7" s="39">
        <v>100000</v>
      </c>
    </row>
    <row r="8" spans="1:4" x14ac:dyDescent="0.3">
      <c r="A8" s="17">
        <v>5</v>
      </c>
      <c r="B8" s="17" t="s">
        <v>76</v>
      </c>
      <c r="C8" s="39">
        <v>790</v>
      </c>
      <c r="D8" s="39"/>
    </row>
    <row r="9" spans="1:4" x14ac:dyDescent="0.3">
      <c r="A9" s="17">
        <v>6</v>
      </c>
      <c r="B9" s="17" t="s">
        <v>77</v>
      </c>
      <c r="C9" s="39">
        <v>10910</v>
      </c>
      <c r="D9" s="39"/>
    </row>
    <row r="10" spans="1:4" x14ac:dyDescent="0.3">
      <c r="A10" s="17">
        <v>7</v>
      </c>
      <c r="B10" s="17" t="s">
        <v>78</v>
      </c>
      <c r="C10" s="39">
        <v>1900</v>
      </c>
      <c r="D10" s="39"/>
    </row>
    <row r="11" spans="1:4" x14ac:dyDescent="0.3">
      <c r="A11" s="17">
        <v>8</v>
      </c>
      <c r="B11" s="17" t="s">
        <v>79</v>
      </c>
      <c r="C11" s="39">
        <v>800</v>
      </c>
      <c r="D11" s="39"/>
    </row>
    <row r="12" spans="1:4" x14ac:dyDescent="0.3">
      <c r="A12" s="17">
        <v>9</v>
      </c>
      <c r="B12" s="17" t="s">
        <v>80</v>
      </c>
      <c r="C12" s="39">
        <v>700</v>
      </c>
      <c r="D12" s="39"/>
    </row>
    <row r="13" spans="1:4" x14ac:dyDescent="0.3">
      <c r="A13" s="17">
        <v>10</v>
      </c>
      <c r="B13" s="17" t="s">
        <v>81</v>
      </c>
      <c r="C13" s="39">
        <v>130</v>
      </c>
      <c r="D13" s="39"/>
    </row>
    <row r="14" spans="1:4" x14ac:dyDescent="0.3">
      <c r="A14" s="17"/>
      <c r="B14" s="17" t="s">
        <v>57</v>
      </c>
      <c r="C14" s="41">
        <f>SUM(C4:C13)</f>
        <v>291518</v>
      </c>
      <c r="D14" s="42">
        <f>SUM(D4:D13)</f>
        <v>291518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EEBA-C986-4623-87AF-58409A55AF73}">
  <dimension ref="A1:D11"/>
  <sheetViews>
    <sheetView workbookViewId="0">
      <selection activeCell="C18" sqref="C18"/>
    </sheetView>
  </sheetViews>
  <sheetFormatPr defaultRowHeight="14.4" x14ac:dyDescent="0.3"/>
  <cols>
    <col min="1" max="1" width="26.77734375" customWidth="1"/>
    <col min="2" max="2" width="15.77734375" customWidth="1"/>
    <col min="3" max="3" width="28.77734375" customWidth="1"/>
    <col min="4" max="4" width="14.88671875" customWidth="1"/>
  </cols>
  <sheetData>
    <row r="1" spans="1:4" x14ac:dyDescent="0.3">
      <c r="A1" s="36" t="s">
        <v>96</v>
      </c>
      <c r="B1" s="36"/>
      <c r="C1" s="36"/>
      <c r="D1" s="36"/>
    </row>
    <row r="3" spans="1:4" x14ac:dyDescent="0.3">
      <c r="A3" s="14" t="s">
        <v>85</v>
      </c>
      <c r="B3" s="14" t="s">
        <v>86</v>
      </c>
      <c r="C3" s="14" t="s">
        <v>87</v>
      </c>
      <c r="D3" s="14" t="s">
        <v>86</v>
      </c>
    </row>
    <row r="4" spans="1:4" x14ac:dyDescent="0.3">
      <c r="A4" s="17" t="s">
        <v>88</v>
      </c>
      <c r="B4" s="17">
        <v>790</v>
      </c>
      <c r="C4" s="17" t="s">
        <v>89</v>
      </c>
      <c r="D4" s="37">
        <v>100000</v>
      </c>
    </row>
    <row r="5" spans="1:4" x14ac:dyDescent="0.3">
      <c r="A5" s="17" t="s">
        <v>90</v>
      </c>
      <c r="B5" s="37">
        <v>10910</v>
      </c>
      <c r="C5" s="17"/>
      <c r="D5" s="17"/>
    </row>
    <row r="6" spans="1:4" x14ac:dyDescent="0.3">
      <c r="A6" s="17" t="s">
        <v>91</v>
      </c>
      <c r="B6" s="37">
        <v>1900</v>
      </c>
      <c r="C6" s="17"/>
      <c r="D6" s="17"/>
    </row>
    <row r="7" spans="1:4" x14ac:dyDescent="0.3">
      <c r="A7" s="17" t="s">
        <v>92</v>
      </c>
      <c r="B7" s="17">
        <v>800</v>
      </c>
      <c r="C7" s="17"/>
      <c r="D7" s="17"/>
    </row>
    <row r="8" spans="1:4" x14ac:dyDescent="0.3">
      <c r="A8" s="17" t="s">
        <v>93</v>
      </c>
      <c r="B8" s="17">
        <v>700</v>
      </c>
      <c r="C8" s="17"/>
      <c r="D8" s="17"/>
    </row>
    <row r="9" spans="1:4" x14ac:dyDescent="0.3">
      <c r="A9" s="17" t="s">
        <v>94</v>
      </c>
      <c r="B9" s="17">
        <v>130</v>
      </c>
      <c r="C9" s="17"/>
      <c r="D9" s="17"/>
    </row>
    <row r="10" spans="1:4" x14ac:dyDescent="0.3">
      <c r="A10" s="17" t="s">
        <v>95</v>
      </c>
      <c r="B10" s="37">
        <v>84770</v>
      </c>
      <c r="C10" s="17"/>
      <c r="D10" s="17"/>
    </row>
    <row r="11" spans="1:4" x14ac:dyDescent="0.3">
      <c r="A11" s="17" t="s">
        <v>57</v>
      </c>
      <c r="B11" s="43">
        <f>SUM(B4:B10)</f>
        <v>100000</v>
      </c>
      <c r="C11" s="17" t="s">
        <v>57</v>
      </c>
      <c r="D11" s="43">
        <f>SUM(D4:D10)</f>
        <v>100000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2EB3-0962-4B75-A184-121C1AA0537B}">
  <dimension ref="A1:D7"/>
  <sheetViews>
    <sheetView tabSelected="1" workbookViewId="0">
      <selection activeCell="E22" sqref="E22"/>
    </sheetView>
  </sheetViews>
  <sheetFormatPr defaultRowHeight="14.4" x14ac:dyDescent="0.3"/>
  <cols>
    <col min="1" max="1" width="26.77734375" customWidth="1"/>
    <col min="2" max="2" width="15.6640625" customWidth="1"/>
    <col min="3" max="3" width="27.6640625" customWidth="1"/>
    <col min="4" max="4" width="17.77734375" customWidth="1"/>
  </cols>
  <sheetData>
    <row r="1" spans="1:4" x14ac:dyDescent="0.3">
      <c r="A1" s="36" t="s">
        <v>102</v>
      </c>
      <c r="B1" s="36"/>
      <c r="C1" s="36"/>
      <c r="D1" s="36"/>
    </row>
    <row r="3" spans="1:4" x14ac:dyDescent="0.3">
      <c r="A3" s="14" t="s">
        <v>97</v>
      </c>
      <c r="B3" s="14" t="s">
        <v>86</v>
      </c>
      <c r="C3" s="14" t="s">
        <v>98</v>
      </c>
      <c r="D3" s="14" t="s">
        <v>86</v>
      </c>
    </row>
    <row r="4" spans="1:4" x14ac:dyDescent="0.3">
      <c r="A4" s="17" t="s">
        <v>74</v>
      </c>
      <c r="B4" s="37">
        <v>191518</v>
      </c>
      <c r="C4" s="17" t="s">
        <v>99</v>
      </c>
      <c r="D4" s="37">
        <v>95730</v>
      </c>
    </row>
    <row r="5" spans="1:4" x14ac:dyDescent="0.3">
      <c r="A5" s="17" t="s">
        <v>100</v>
      </c>
      <c r="B5" s="37">
        <v>84770</v>
      </c>
      <c r="C5" s="17" t="s">
        <v>101</v>
      </c>
      <c r="D5" s="37">
        <v>180558</v>
      </c>
    </row>
    <row r="6" spans="1:4" x14ac:dyDescent="0.3">
      <c r="A6" s="17"/>
      <c r="B6" s="37"/>
      <c r="C6" s="17"/>
      <c r="D6" s="37"/>
    </row>
    <row r="7" spans="1:4" x14ac:dyDescent="0.3">
      <c r="A7" s="17" t="s">
        <v>57</v>
      </c>
      <c r="B7" s="43">
        <f>SUM(B4:B5)</f>
        <v>276288</v>
      </c>
      <c r="C7" s="17" t="s">
        <v>57</v>
      </c>
      <c r="D7" s="43">
        <f>SUM(D4:D5)</f>
        <v>276288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</vt:lpstr>
      <vt:lpstr>Journal</vt:lpstr>
      <vt:lpstr>Ledger</vt:lpstr>
      <vt:lpstr>Trial Balance</vt:lpstr>
      <vt:lpstr>Income and expenditure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jose r</cp:lastModifiedBy>
  <dcterms:created xsi:type="dcterms:W3CDTF">2026-10-13T03:15:52Z</dcterms:created>
  <dcterms:modified xsi:type="dcterms:W3CDTF">2026-10-13T03:42:16Z</dcterms:modified>
</cp:coreProperties>
</file>